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6.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04A72CBC3994205/Documents/"/>
    </mc:Choice>
  </mc:AlternateContent>
  <xr:revisionPtr revIDLastSave="1734" documentId="8_{24590E75-7061-4FA0-B0F1-A757639AEBBB}" xr6:coauthVersionLast="47" xr6:coauthVersionMax="47" xr10:uidLastSave="{5FADD961-0B97-4EB7-883F-41C78C4A4B57}"/>
  <bookViews>
    <workbookView xWindow="-108" yWindow="-108" windowWidth="23256" windowHeight="13176" activeTab="3" xr2:uid="{B9BEDD9F-551B-40E8-9EE8-A9F9A6E9BC70}"/>
  </bookViews>
  <sheets>
    <sheet name="Employee Data" sheetId="1" r:id="rId1"/>
    <sheet name="Performance Analysis" sheetId="3" r:id="rId2"/>
    <sheet name="Salary&amp;Experiences Analysis" sheetId="4" r:id="rId3"/>
    <sheet name="Payroll Analysis" sheetId="2" r:id="rId4"/>
    <sheet name="Department&amp;Location Analysis" sheetId="5" r:id="rId5"/>
    <sheet name="Employee Demographics" sheetId="6" r:id="rId6"/>
    <sheet name="Dashboard" sheetId="7" r:id="rId7"/>
    <sheet name="Report" sheetId="8" r:id="rId8"/>
  </sheets>
  <definedNames>
    <definedName name="_xlnm._FilterDatabase" localSheetId="0" hidden="1">'Employee Data'!$A$1:$V$121</definedName>
    <definedName name="Slicer_Department">#N/A</definedName>
    <definedName name="Slicer_Department1">#N/A</definedName>
    <definedName name="Slicer_Department2">#N/A</definedName>
    <definedName name="Slicer_Department3">#N/A</definedName>
    <definedName name="Slicer_Department4">#N/A</definedName>
    <definedName name="Slicer_Education">#N/A</definedName>
    <definedName name="Slicer_Exerience_category">#N/A</definedName>
    <definedName name="Slicer_Gender">#N/A</definedName>
    <definedName name="Slicer_Gender1">#N/A</definedName>
    <definedName name="Slicer_Gender2">#N/A</definedName>
    <definedName name="Slicer_Gender3">#N/A</definedName>
    <definedName name="Slicer_Gender4">#N/A</definedName>
    <definedName name="Slicer_Location1">#N/A</definedName>
    <definedName name="Slicer_Performance_Rating">#N/A</definedName>
    <definedName name="Slicer_Role">#N/A</definedName>
    <definedName name="Slicer_Salary_Band">#N/A</definedName>
    <definedName name="Slicer_Salary_Band1">#N/A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2" i="1" l="1"/>
  <c r="O2"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O3" i="1"/>
  <c r="U3" i="1" s="1"/>
  <c r="O4" i="1"/>
  <c r="U4" i="1" s="1"/>
  <c r="O5" i="1"/>
  <c r="U5" i="1" s="1"/>
  <c r="O6" i="1"/>
  <c r="U6" i="1" s="1"/>
  <c r="O7" i="1"/>
  <c r="U7" i="1" s="1"/>
  <c r="O8" i="1"/>
  <c r="U8" i="1" s="1"/>
  <c r="O9" i="1"/>
  <c r="U9" i="1" s="1"/>
  <c r="O10" i="1"/>
  <c r="U10" i="1" s="1"/>
  <c r="O11" i="1"/>
  <c r="U11" i="1" s="1"/>
  <c r="U12" i="1"/>
  <c r="O13" i="1"/>
  <c r="U13" i="1" s="1"/>
  <c r="O14" i="1"/>
  <c r="U14" i="1" s="1"/>
  <c r="O15" i="1"/>
  <c r="U15" i="1" s="1"/>
  <c r="O16" i="1"/>
  <c r="U16" i="1" s="1"/>
  <c r="O17" i="1"/>
  <c r="U17" i="1" s="1"/>
  <c r="O18" i="1"/>
  <c r="U18" i="1" s="1"/>
  <c r="O19" i="1"/>
  <c r="U19" i="1" s="1"/>
  <c r="O20" i="1"/>
  <c r="U20" i="1" s="1"/>
  <c r="O21" i="1"/>
  <c r="U21" i="1" s="1"/>
  <c r="O22" i="1"/>
  <c r="U22" i="1" s="1"/>
  <c r="O23" i="1"/>
  <c r="U23" i="1" s="1"/>
  <c r="O24" i="1"/>
  <c r="U24" i="1" s="1"/>
  <c r="O25" i="1"/>
  <c r="U25" i="1" s="1"/>
  <c r="O26" i="1"/>
  <c r="U26" i="1" s="1"/>
  <c r="O27" i="1"/>
  <c r="U27" i="1" s="1"/>
  <c r="O28" i="1"/>
  <c r="U28" i="1" s="1"/>
  <c r="O29" i="1"/>
  <c r="U29" i="1" s="1"/>
  <c r="O30" i="1"/>
  <c r="U30" i="1" s="1"/>
  <c r="O31" i="1"/>
  <c r="U31" i="1" s="1"/>
  <c r="O32" i="1"/>
  <c r="U32" i="1" s="1"/>
  <c r="O33" i="1"/>
  <c r="U33" i="1" s="1"/>
  <c r="O34" i="1"/>
  <c r="U34" i="1" s="1"/>
  <c r="O35" i="1"/>
  <c r="U35" i="1" s="1"/>
  <c r="O36" i="1"/>
  <c r="U36" i="1" s="1"/>
  <c r="O37" i="1"/>
  <c r="U37" i="1" s="1"/>
  <c r="O38" i="1"/>
  <c r="U38" i="1" s="1"/>
  <c r="O39" i="1"/>
  <c r="U39" i="1" s="1"/>
  <c r="O40" i="1"/>
  <c r="U40" i="1" s="1"/>
  <c r="O41" i="1"/>
  <c r="U41" i="1" s="1"/>
  <c r="O42" i="1"/>
  <c r="U42" i="1" s="1"/>
  <c r="O43" i="1"/>
  <c r="U43" i="1" s="1"/>
  <c r="O44" i="1"/>
  <c r="U44" i="1" s="1"/>
  <c r="O45" i="1"/>
  <c r="U45" i="1" s="1"/>
  <c r="O46" i="1"/>
  <c r="U46" i="1" s="1"/>
  <c r="O47" i="1"/>
  <c r="U47" i="1" s="1"/>
  <c r="O48" i="1"/>
  <c r="U48" i="1" s="1"/>
  <c r="O49" i="1"/>
  <c r="U49" i="1" s="1"/>
  <c r="O50" i="1"/>
  <c r="U50" i="1" s="1"/>
  <c r="O51" i="1"/>
  <c r="U51" i="1" s="1"/>
  <c r="O52" i="1"/>
  <c r="U52" i="1" s="1"/>
  <c r="O53" i="1"/>
  <c r="U53" i="1" s="1"/>
  <c r="O54" i="1"/>
  <c r="U54" i="1" s="1"/>
  <c r="O55" i="1"/>
  <c r="U55" i="1" s="1"/>
  <c r="O56" i="1"/>
  <c r="U56" i="1" s="1"/>
  <c r="O57" i="1"/>
  <c r="U57" i="1" s="1"/>
  <c r="O58" i="1"/>
  <c r="U58" i="1" s="1"/>
  <c r="O59" i="1"/>
  <c r="U59" i="1" s="1"/>
  <c r="O60" i="1"/>
  <c r="U60" i="1" s="1"/>
  <c r="O61" i="1"/>
  <c r="U61" i="1" s="1"/>
  <c r="O62" i="1"/>
  <c r="U62" i="1" s="1"/>
  <c r="O63" i="1"/>
  <c r="U63" i="1" s="1"/>
  <c r="O64" i="1"/>
  <c r="U64" i="1" s="1"/>
  <c r="O65" i="1"/>
  <c r="U65" i="1" s="1"/>
  <c r="O66" i="1"/>
  <c r="U66" i="1" s="1"/>
  <c r="O67" i="1"/>
  <c r="U67" i="1" s="1"/>
  <c r="O68" i="1"/>
  <c r="U68" i="1" s="1"/>
  <c r="O69" i="1"/>
  <c r="U69" i="1" s="1"/>
  <c r="O70" i="1"/>
  <c r="U70" i="1" s="1"/>
  <c r="O71" i="1"/>
  <c r="U71" i="1" s="1"/>
  <c r="O72" i="1"/>
  <c r="U72" i="1" s="1"/>
  <c r="O73" i="1"/>
  <c r="U73" i="1" s="1"/>
  <c r="O74" i="1"/>
  <c r="U74" i="1" s="1"/>
  <c r="O75" i="1"/>
  <c r="U75" i="1" s="1"/>
  <c r="O76" i="1"/>
  <c r="U76" i="1" s="1"/>
  <c r="O77" i="1"/>
  <c r="U77" i="1" s="1"/>
  <c r="O78" i="1"/>
  <c r="U78" i="1" s="1"/>
  <c r="O79" i="1"/>
  <c r="U79" i="1" s="1"/>
  <c r="O80" i="1"/>
  <c r="U80" i="1" s="1"/>
  <c r="O81" i="1"/>
  <c r="U81" i="1" s="1"/>
  <c r="O82" i="1"/>
  <c r="U82" i="1" s="1"/>
  <c r="O83" i="1"/>
  <c r="U83" i="1" s="1"/>
  <c r="O84" i="1"/>
  <c r="U84" i="1" s="1"/>
  <c r="O85" i="1"/>
  <c r="U85" i="1" s="1"/>
  <c r="O86" i="1"/>
  <c r="U86" i="1" s="1"/>
  <c r="O87" i="1"/>
  <c r="U87" i="1" s="1"/>
  <c r="O88" i="1"/>
  <c r="U88" i="1" s="1"/>
  <c r="O89" i="1"/>
  <c r="U89" i="1" s="1"/>
  <c r="O90" i="1"/>
  <c r="U90" i="1" s="1"/>
  <c r="O91" i="1"/>
  <c r="U91" i="1" s="1"/>
  <c r="O92" i="1"/>
  <c r="U92" i="1" s="1"/>
  <c r="O93" i="1"/>
  <c r="U93" i="1" s="1"/>
  <c r="O94" i="1"/>
  <c r="U94" i="1" s="1"/>
  <c r="O95" i="1"/>
  <c r="U95" i="1" s="1"/>
  <c r="O96" i="1"/>
  <c r="U96" i="1" s="1"/>
  <c r="O97" i="1"/>
  <c r="U97" i="1" s="1"/>
  <c r="O98" i="1"/>
  <c r="U98" i="1" s="1"/>
  <c r="O99" i="1"/>
  <c r="U99" i="1" s="1"/>
  <c r="O100" i="1"/>
  <c r="U100" i="1" s="1"/>
  <c r="O101" i="1"/>
  <c r="U101" i="1" s="1"/>
  <c r="O102" i="1"/>
  <c r="U102" i="1" s="1"/>
  <c r="O103" i="1"/>
  <c r="U103" i="1" s="1"/>
  <c r="O104" i="1"/>
  <c r="U104" i="1" s="1"/>
  <c r="O105" i="1"/>
  <c r="U105" i="1" s="1"/>
  <c r="O106" i="1"/>
  <c r="U106" i="1" s="1"/>
  <c r="O107" i="1"/>
  <c r="U107" i="1" s="1"/>
  <c r="O108" i="1"/>
  <c r="U108" i="1" s="1"/>
  <c r="O109" i="1"/>
  <c r="U109" i="1" s="1"/>
  <c r="O110" i="1"/>
  <c r="U110" i="1" s="1"/>
  <c r="O111" i="1"/>
  <c r="U111" i="1" s="1"/>
  <c r="O112" i="1"/>
  <c r="U112" i="1" s="1"/>
  <c r="O113" i="1"/>
  <c r="U113" i="1" s="1"/>
  <c r="O114" i="1"/>
  <c r="U114" i="1" s="1"/>
  <c r="O115" i="1"/>
  <c r="U115" i="1" s="1"/>
  <c r="O116" i="1"/>
  <c r="U116" i="1" s="1"/>
  <c r="O117" i="1"/>
  <c r="U117" i="1" s="1"/>
  <c r="O118" i="1"/>
  <c r="U118" i="1" s="1"/>
  <c r="O119" i="1"/>
  <c r="U119" i="1" s="1"/>
  <c r="O120" i="1"/>
  <c r="U120" i="1" s="1"/>
  <c r="O121" i="1"/>
  <c r="U121" i="1" s="1"/>
  <c r="U2" i="1"/>
  <c r="E7" i="3"/>
  <c r="E8" i="3"/>
  <c r="E10" i="3"/>
  <c r="E6" i="3"/>
  <c r="E9" i="3"/>
  <c r="E5" i="3"/>
</calcChain>
</file>

<file path=xl/sharedStrings.xml><?xml version="1.0" encoding="utf-8"?>
<sst xmlns="http://schemas.openxmlformats.org/spreadsheetml/2006/main" count="1132" uniqueCount="281">
  <si>
    <t>Emp_ID</t>
  </si>
  <si>
    <t>Name</t>
  </si>
  <si>
    <t>Department</t>
  </si>
  <si>
    <t>Role</t>
  </si>
  <si>
    <t>Location</t>
  </si>
  <si>
    <t>Gender</t>
  </si>
  <si>
    <t>Experience_Years</t>
  </si>
  <si>
    <t>Education</t>
  </si>
  <si>
    <t>Base_Salary</t>
  </si>
  <si>
    <t>Bonus</t>
  </si>
  <si>
    <t>Overtime_Pay</t>
  </si>
  <si>
    <t>Allowances</t>
  </si>
  <si>
    <t>Deductions</t>
  </si>
  <si>
    <t>Tax</t>
  </si>
  <si>
    <t>Net_Salary</t>
  </si>
  <si>
    <t>Performance_Rating</t>
  </si>
  <si>
    <t>Projects_Handled</t>
  </si>
  <si>
    <t>Leaves_Taken</t>
  </si>
  <si>
    <t>Promotion_Last_Year</t>
  </si>
  <si>
    <t>Joining_Date</t>
  </si>
  <si>
    <t>Salary_Band</t>
  </si>
  <si>
    <t>Exerience_category</t>
  </si>
  <si>
    <t>PF</t>
  </si>
  <si>
    <t>Karthik Iyer</t>
  </si>
  <si>
    <t>Operations</t>
  </si>
  <si>
    <t>Executive</t>
  </si>
  <si>
    <t>Pune</t>
  </si>
  <si>
    <t>Male</t>
  </si>
  <si>
    <t>B.Com</t>
  </si>
  <si>
    <t>No</t>
  </si>
  <si>
    <t>2015-02-26</t>
  </si>
  <si>
    <t>Anjali Kumar</t>
  </si>
  <si>
    <t>Analyst</t>
  </si>
  <si>
    <t>Bangalore</t>
  </si>
  <si>
    <t>M.Sc</t>
  </si>
  <si>
    <t>2021-04-27</t>
  </si>
  <si>
    <t>Karthik Reddy</t>
  </si>
  <si>
    <t>IT</t>
  </si>
  <si>
    <t>Manager</t>
  </si>
  <si>
    <t>Yes</t>
  </si>
  <si>
    <t>2019-03-13</t>
  </si>
  <si>
    <t>Karthik Sharma</t>
  </si>
  <si>
    <t>HR</t>
  </si>
  <si>
    <t>Female</t>
  </si>
  <si>
    <t>2017-09-07</t>
  </si>
  <si>
    <t>Sneha Sharma</t>
  </si>
  <si>
    <t>Sales</t>
  </si>
  <si>
    <t>Mumbai</t>
  </si>
  <si>
    <t>MBA</t>
  </si>
  <si>
    <t>2017-05-24</t>
  </si>
  <si>
    <t>Priya Sharma</t>
  </si>
  <si>
    <t>Finance</t>
  </si>
  <si>
    <t>Chennai</t>
  </si>
  <si>
    <t>B.Tech</t>
  </si>
  <si>
    <t>2019-12-11</t>
  </si>
  <si>
    <t>2015-11-01</t>
  </si>
  <si>
    <t>Neha Singh</t>
  </si>
  <si>
    <t>2016-12-06</t>
  </si>
  <si>
    <t>Anjali Reddy</t>
  </si>
  <si>
    <t>Engineer</t>
  </si>
  <si>
    <t>2016-06-18</t>
  </si>
  <si>
    <t>Arun Iyer</t>
  </si>
  <si>
    <t>Marketing</t>
  </si>
  <si>
    <t>2020-06-21</t>
  </si>
  <si>
    <t>Vikram Sharma</t>
  </si>
  <si>
    <t>B.Sc</t>
  </si>
  <si>
    <t>2017-12-04</t>
  </si>
  <si>
    <t>Rahul Kumar</t>
  </si>
  <si>
    <t>2017-12-18</t>
  </si>
  <si>
    <t>Sneha Reddy</t>
  </si>
  <si>
    <t>Lead</t>
  </si>
  <si>
    <t>2022-05-22</t>
  </si>
  <si>
    <t>Arun Reddy</t>
  </si>
  <si>
    <t>2015-12-28</t>
  </si>
  <si>
    <t>Divya Reddy</t>
  </si>
  <si>
    <t>Hyderabad</t>
  </si>
  <si>
    <t>2019-02-25</t>
  </si>
  <si>
    <t>Neha Sharma</t>
  </si>
  <si>
    <t>2019-03-20</t>
  </si>
  <si>
    <t>2019-04-01</t>
  </si>
  <si>
    <t>Anjali Singh</t>
  </si>
  <si>
    <t>2016-12-11</t>
  </si>
  <si>
    <t>2023-06-24</t>
  </si>
  <si>
    <t>2016-10-18</t>
  </si>
  <si>
    <t>2019-06-07</t>
  </si>
  <si>
    <t>Arun Kumar</t>
  </si>
  <si>
    <t>Delhi</t>
  </si>
  <si>
    <t>2018-10-05</t>
  </si>
  <si>
    <t>2019-03-08</t>
  </si>
  <si>
    <t>2022-11-27</t>
  </si>
  <si>
    <t>Sneha Iyer</t>
  </si>
  <si>
    <t>2023-10-04</t>
  </si>
  <si>
    <t>Neha Iyer</t>
  </si>
  <si>
    <t>2020-04-26</t>
  </si>
  <si>
    <t>2023-08-13</t>
  </si>
  <si>
    <t>Vikram Iyer</t>
  </si>
  <si>
    <t>2017-07-21</t>
  </si>
  <si>
    <t>2020-05-20</t>
  </si>
  <si>
    <t>Priya Kumar</t>
  </si>
  <si>
    <t>2017-04-08</t>
  </si>
  <si>
    <t>2019-06-05</t>
  </si>
  <si>
    <t>Sneha Singh</t>
  </si>
  <si>
    <t>2018-06-23</t>
  </si>
  <si>
    <t>2020-08-11</t>
  </si>
  <si>
    <t>Divya Kumar</t>
  </si>
  <si>
    <t>2018-08-24</t>
  </si>
  <si>
    <t>2019-01-11</t>
  </si>
  <si>
    <t>2021-10-18</t>
  </si>
  <si>
    <t>2017-01-11</t>
  </si>
  <si>
    <t>2015-05-13</t>
  </si>
  <si>
    <t>Rahul Reddy</t>
  </si>
  <si>
    <t>2017-10-06</t>
  </si>
  <si>
    <t>Vikram Singh</t>
  </si>
  <si>
    <t>2015-06-01</t>
  </si>
  <si>
    <t>Karthik Singh</t>
  </si>
  <si>
    <t>2016-08-24</t>
  </si>
  <si>
    <t>Suresh Iyer</t>
  </si>
  <si>
    <t>2022-04-21</t>
  </si>
  <si>
    <t>Suresh Kumar</t>
  </si>
  <si>
    <t>2023-05-14</t>
  </si>
  <si>
    <t>Suresh Singh</t>
  </si>
  <si>
    <t>2020-06-18</t>
  </si>
  <si>
    <t>Karthik Kumar</t>
  </si>
  <si>
    <t>2015-07-06</t>
  </si>
  <si>
    <t>2018-05-25</t>
  </si>
  <si>
    <t>2022-12-21</t>
  </si>
  <si>
    <t>Priya Iyer</t>
  </si>
  <si>
    <t>2016-02-10</t>
  </si>
  <si>
    <t>2020-07-06</t>
  </si>
  <si>
    <t>Divya Singh</t>
  </si>
  <si>
    <t>2021-01-13</t>
  </si>
  <si>
    <t>2023-12-27</t>
  </si>
  <si>
    <t>2019-08-27</t>
  </si>
  <si>
    <t>2018-08-09</t>
  </si>
  <si>
    <t>2022-09-04</t>
  </si>
  <si>
    <t>Anjali Iyer</t>
  </si>
  <si>
    <t>2021-06-01</t>
  </si>
  <si>
    <t>2021-06-18</t>
  </si>
  <si>
    <t>2017-05-25</t>
  </si>
  <si>
    <t>Anjali Sharma</t>
  </si>
  <si>
    <t>2019-09-06</t>
  </si>
  <si>
    <t>Vikram Reddy</t>
  </si>
  <si>
    <t>2015-09-07</t>
  </si>
  <si>
    <t>2021-01-27</t>
  </si>
  <si>
    <t>Neha Kumar</t>
  </si>
  <si>
    <t>2020-03-10</t>
  </si>
  <si>
    <t>Rahul Singh</t>
  </si>
  <si>
    <t>2017-10-24</t>
  </si>
  <si>
    <t>Rahul Sharma</t>
  </si>
  <si>
    <t>2016-01-05</t>
  </si>
  <si>
    <t>2016-07-01</t>
  </si>
  <si>
    <t>2022-02-09</t>
  </si>
  <si>
    <t>Arun Singh</t>
  </si>
  <si>
    <t>2022-04-12</t>
  </si>
  <si>
    <t>2023-11-09</t>
  </si>
  <si>
    <t>2021-03-15</t>
  </si>
  <si>
    <t>Priya Singh</t>
  </si>
  <si>
    <t>2020-05-12</t>
  </si>
  <si>
    <t>2018-09-14</t>
  </si>
  <si>
    <t>2015-01-24</t>
  </si>
  <si>
    <t>2016-07-23</t>
  </si>
  <si>
    <t>2021-12-23</t>
  </si>
  <si>
    <t>2017-04-24</t>
  </si>
  <si>
    <t>2023-10-27</t>
  </si>
  <si>
    <t>2018-08-17</t>
  </si>
  <si>
    <t>2022-07-03</t>
  </si>
  <si>
    <t>2022-01-11</t>
  </si>
  <si>
    <t>Neha Reddy</t>
  </si>
  <si>
    <t>2019-11-18</t>
  </si>
  <si>
    <t>2018-09-17</t>
  </si>
  <si>
    <t>2015-09-15</t>
  </si>
  <si>
    <t>2017-04-12</t>
  </si>
  <si>
    <t>2015-12-15</t>
  </si>
  <si>
    <t>2021-09-22</t>
  </si>
  <si>
    <t>Rahul Iyer</t>
  </si>
  <si>
    <t>2023-10-25</t>
  </si>
  <si>
    <t>2016-03-11</t>
  </si>
  <si>
    <t>2023-12-16</t>
  </si>
  <si>
    <t>2021-04-18</t>
  </si>
  <si>
    <t>Suresh Sharma</t>
  </si>
  <si>
    <t>2021-07-22</t>
  </si>
  <si>
    <t>2020-06-24</t>
  </si>
  <si>
    <t>2016-02-04</t>
  </si>
  <si>
    <t>2017-11-09</t>
  </si>
  <si>
    <t>2022-01-18</t>
  </si>
  <si>
    <t>2021-05-21</t>
  </si>
  <si>
    <t>2015-09-08</t>
  </si>
  <si>
    <t>2018-11-22</t>
  </si>
  <si>
    <t>Arun Sharma</t>
  </si>
  <si>
    <t>2017-08-13</t>
  </si>
  <si>
    <t>2022-04-10</t>
  </si>
  <si>
    <t>2020-03-20</t>
  </si>
  <si>
    <t>2023-11-23</t>
  </si>
  <si>
    <t>2020-09-23</t>
  </si>
  <si>
    <t>2021-04-04</t>
  </si>
  <si>
    <t>2022-08-11</t>
  </si>
  <si>
    <t>2019-11-05</t>
  </si>
  <si>
    <t>2019-04-05</t>
  </si>
  <si>
    <t>2015-07-15</t>
  </si>
  <si>
    <t>2023-08-17</t>
  </si>
  <si>
    <t>2016-11-02</t>
  </si>
  <si>
    <t>2023-11-18</t>
  </si>
  <si>
    <t>2017-12-15</t>
  </si>
  <si>
    <t>2020-12-01</t>
  </si>
  <si>
    <t>2020-01-11</t>
  </si>
  <si>
    <t>2016-06-01</t>
  </si>
  <si>
    <t>2017-01-25</t>
  </si>
  <si>
    <t>2023-08-28</t>
  </si>
  <si>
    <t>2021-03-05</t>
  </si>
  <si>
    <t>2017-11-15</t>
  </si>
  <si>
    <t>2022-04-08</t>
  </si>
  <si>
    <t>Vikram Kumar</t>
  </si>
  <si>
    <t>2022-09-26</t>
  </si>
  <si>
    <t>2015-08-04</t>
  </si>
  <si>
    <t>Payroll Analysis</t>
  </si>
  <si>
    <t>Count of Emp_ID</t>
  </si>
  <si>
    <t>Sum of Base_Salary</t>
  </si>
  <si>
    <t>Sum of Bonus</t>
  </si>
  <si>
    <t>Sum of Overtime_Pay</t>
  </si>
  <si>
    <t>Sum of Allowances</t>
  </si>
  <si>
    <t>Sum of Tax</t>
  </si>
  <si>
    <t>Sum of Net_Salary</t>
  </si>
  <si>
    <t>Sum of Deductions</t>
  </si>
  <si>
    <t>Role  Wise PayCost</t>
  </si>
  <si>
    <t>Row Labels</t>
  </si>
  <si>
    <t>Grand Total</t>
  </si>
  <si>
    <t>Department wise pay cost</t>
  </si>
  <si>
    <t>Performance Analysis</t>
  </si>
  <si>
    <t>Average of Performance_Rating</t>
  </si>
  <si>
    <t>Sum of Projects_Handled</t>
  </si>
  <si>
    <t>Promotion Eligility</t>
  </si>
  <si>
    <t>Ranking Based on Proect Handling</t>
  </si>
  <si>
    <t>Salary &amp;Experiences Analysis</t>
  </si>
  <si>
    <t>Average of Net_Salary</t>
  </si>
  <si>
    <t>junior</t>
  </si>
  <si>
    <t>mid-level,</t>
  </si>
  <si>
    <t>senior</t>
  </si>
  <si>
    <t>Department&amp;Location Analysis</t>
  </si>
  <si>
    <t>Department Wise Analysis</t>
  </si>
  <si>
    <t>Payroll Cost by Department</t>
  </si>
  <si>
    <t>Employee Salary by Location</t>
  </si>
  <si>
    <t>Payroll Cost by Location</t>
  </si>
  <si>
    <t>Employee Demographics</t>
  </si>
  <si>
    <t>Gender wise Net_salary</t>
  </si>
  <si>
    <t>pie chart</t>
  </si>
  <si>
    <t>Education Analysis</t>
  </si>
  <si>
    <t>Employee Salary Analysis And Visualization</t>
  </si>
  <si>
    <t>Payroll</t>
  </si>
  <si>
    <t>performance Analysis</t>
  </si>
  <si>
    <t xml:space="preserve">     </t>
  </si>
  <si>
    <t>Report</t>
  </si>
  <si>
    <t>1. Project Objective</t>
  </si>
  <si>
    <t>The main objective of this project is to analyze employee salary, payroll, performance, experience, department, location, and demographic information. The project transforms raw employee data into meaningful business insights using Microsoft Excel and an interactive dashboard.</t>
  </si>
  <si>
    <t>2. Dataset</t>
  </si>
  <si>
    <r>
      <t xml:space="preserve">The dataset contains </t>
    </r>
    <r>
      <rPr>
        <b/>
        <sz val="11"/>
        <color theme="1"/>
        <rFont val="Aptos Narrow"/>
        <family val="2"/>
        <scheme val="minor"/>
      </rPr>
      <t>120 employee records with 23 fields</t>
    </r>
    <r>
      <rPr>
        <sz val="11"/>
        <color theme="1"/>
        <rFont val="Aptos Narrow"/>
        <family val="2"/>
        <scheme val="minor"/>
      </rPr>
      <t>. It includes Employee ID, department, role, location, gender, education, experience, base salary, bonus, overtime pay, allowances, deductions, tax, net salary, performance rating, projects handled, leaves, promotion status, and joining date.</t>
    </r>
  </si>
  <si>
    <t>3. Tools Used</t>
  </si>
  <si>
    <r>
      <t>Microsoft Excel</t>
    </r>
    <r>
      <rPr>
        <sz val="11"/>
        <color theme="1"/>
        <rFont val="Aptos Narrow"/>
        <family val="2"/>
        <scheme val="minor"/>
      </rPr>
      <t xml:space="preserve"> was primarily used for this project. The analysis involved Excel formulas/functions, data cleaning, sorting and filtering, Pivot Tables, Pivot Charts, and dashboard visualization.</t>
    </r>
  </si>
  <si>
    <t>4. Analysis Process</t>
  </si>
  <si>
    <t>The project followed the process:</t>
  </si>
  <si>
    <t>Raw Data → Data Checking &amp; Cleaning → Data Validation → Pivot Table Analysis → Charts → Dashboard → Insights</t>
  </si>
  <si>
    <t>The analysis was divided into:</t>
  </si>
  <si>
    <t>Salary &amp; Experience Analysis</t>
  </si>
  <si>
    <t>Department &amp; Location Analysis</t>
  </si>
  <si>
    <t>5. Key Findings</t>
  </si>
  <si>
    <r>
      <t>Total Employees:</t>
    </r>
    <r>
      <rPr>
        <sz val="11"/>
        <color theme="1"/>
        <rFont val="Aptos Narrow"/>
        <family val="2"/>
        <scheme val="minor"/>
      </rPr>
      <t xml:space="preserve"> 120</t>
    </r>
  </si>
  <si>
    <r>
      <t>Total Net Salary:</t>
    </r>
    <r>
      <rPr>
        <sz val="11"/>
        <color theme="1"/>
        <rFont val="Aptos Narrow"/>
        <family val="2"/>
        <scheme val="minor"/>
      </rPr>
      <t xml:space="preserve"> 7,465,876</t>
    </r>
  </si>
  <si>
    <r>
      <t>Highest Department Payroll:</t>
    </r>
    <r>
      <rPr>
        <sz val="11"/>
        <color theme="1"/>
        <rFont val="Aptos Narrow"/>
        <family val="2"/>
        <scheme val="minor"/>
      </rPr>
      <t xml:space="preserve"> Operations – 1,700,115</t>
    </r>
  </si>
  <si>
    <r>
      <t>Second Highest Department Payroll:</t>
    </r>
    <r>
      <rPr>
        <sz val="11"/>
        <color theme="1"/>
        <rFont val="Aptos Narrow"/>
        <family val="2"/>
        <scheme val="minor"/>
      </rPr>
      <t xml:space="preserve"> IT – 1,551,563</t>
    </r>
  </si>
  <si>
    <r>
      <t>Highest Location Payroll:</t>
    </r>
    <r>
      <rPr>
        <sz val="11"/>
        <color theme="1"/>
        <rFont val="Aptos Narrow"/>
        <family val="2"/>
        <scheme val="minor"/>
      </rPr>
      <t xml:space="preserve"> Pune – 1,634,325</t>
    </r>
  </si>
  <si>
    <r>
      <t>Lowest Location Payroll:</t>
    </r>
    <r>
      <rPr>
        <sz val="11"/>
        <color theme="1"/>
        <rFont val="Aptos Narrow"/>
        <family val="2"/>
        <scheme val="minor"/>
      </rPr>
      <t xml:space="preserve"> Hyderabad – 806,153</t>
    </r>
  </si>
  <si>
    <r>
      <t>Overall Average Performance Rating:</t>
    </r>
    <r>
      <rPr>
        <sz val="11"/>
        <color theme="1"/>
        <rFont val="Aptos Narrow"/>
        <family val="2"/>
        <scheme val="minor"/>
      </rPr>
      <t xml:space="preserve"> 3.525</t>
    </r>
  </si>
  <si>
    <r>
      <t>Highest Departmental Performance Rating:</t>
    </r>
    <r>
      <rPr>
        <sz val="11"/>
        <color theme="1"/>
        <rFont val="Aptos Narrow"/>
        <family val="2"/>
        <scheme val="minor"/>
      </rPr>
      <t xml:space="preserve"> Finance – 3.71</t>
    </r>
  </si>
  <si>
    <r>
      <t>Highest Average Net Salary by Experience:</t>
    </r>
    <r>
      <rPr>
        <sz val="11"/>
        <color theme="1"/>
        <rFont val="Aptos Narrow"/>
        <family val="2"/>
        <scheme val="minor"/>
      </rPr>
      <t xml:space="preserve"> Mid-level – 62,725</t>
    </r>
  </si>
  <si>
    <r>
      <t>Gender Distribution:</t>
    </r>
    <r>
      <rPr>
        <sz val="11"/>
        <color theme="1"/>
        <rFont val="Aptos Narrow"/>
        <family val="2"/>
        <scheme val="minor"/>
      </rPr>
      <t xml:space="preserve"> 60 female and 60 male employees</t>
    </r>
  </si>
  <si>
    <r>
      <t>Largest Education Group:</t>
    </r>
    <r>
      <rPr>
        <sz val="11"/>
        <color theme="1"/>
        <rFont val="Aptos Narrow"/>
        <family val="2"/>
        <scheme val="minor"/>
      </rPr>
      <t xml:space="preserve"> M.Sc – 31 employees</t>
    </r>
  </si>
  <si>
    <t>6. Dashboard Analysis &amp; Insights</t>
  </si>
  <si>
    <t>The dashboard provides a consolidated view of employee payroll and workforce characteristics. Operations has the highest total payroll, while Pune has the highest location-wise payroll. Finance has the highest average performance rating among the departments.</t>
  </si>
  <si>
    <t>The salary analysis shows that average net salaries are relatively similar across junior, mid-level, and senior employees in this dataset. This indicates that experience alone may not determine salary and that other factors such as role, department, and salary structure may also influence compensation.</t>
  </si>
  <si>
    <t>The demographic analysis shows equal representation of male and female employees. The education analysis shows that M.Sc employees form the largest education group.</t>
  </si>
  <si>
    <t>7. Conclusion</t>
  </si>
  <si>
    <r>
      <t xml:space="preserve">This project demonstrates how raw employee data can be cleaned, analyzed, and transformed into meaningful business insights using Excel. The dashboard makes it easier to understand payroll distribution, employee performance, experience levels, department-wise and location-wise salary patterns, and workforce demographics. The analysis can support </t>
    </r>
    <r>
      <rPr>
        <b/>
        <sz val="11"/>
        <color theme="1"/>
        <rFont val="Aptos Narrow"/>
        <family val="2"/>
        <scheme val="minor"/>
      </rPr>
      <t>payroll monitoring, workforce planning, and performance-related decision-making</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</si>
</sst>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 #,##0.00;&quot;₹&quot;\ \-#,##0.00"/>
    <numFmt numFmtId="164" formatCode="&quot;₹&quot;\ #,##0.00"/>
    <numFmt numFmtId="165" formatCode="&quot;₹&quot;\ #,##0.00;[Red]&quot;₹&quot;\ #,##0.00"/>
    <numFmt numFmtId="166" formatCode="&quot;₹&quot;\ #,##0"/>
  </numFmts>
  <fonts count="9" x14ac:knownFonts="1">
    <font>
      <sz val="11"/>
      <color theme="1"/>
      <name val="Aptos Narrow"/>
      <family val="2"/>
      <scheme val="minor"/>
    </font>
    <font>
      <b/>
      <sz val="11"/>
      <color theme="1"/>
      <name val="Aptos Narrow"/>
      <family val="2"/>
      <scheme val="minor"/>
    </font>
    <font>
      <b/>
      <sz val="16"/>
      <color theme="0"/>
      <name val="Aptos Narrow"/>
      <family val="2"/>
      <scheme val="minor"/>
    </font>
    <font>
      <b/>
      <sz val="14"/>
      <color theme="1"/>
      <name val="Aptos Narrow"/>
      <family val="2"/>
      <scheme val="minor"/>
    </font>
    <font>
      <b/>
      <sz val="16"/>
      <color theme="2" tint="-0.89999084444715716"/>
      <name val="Aptos Narrow"/>
      <family val="2"/>
      <scheme val="minor"/>
    </font>
    <font>
      <b/>
      <sz val="14"/>
      <color theme="2" tint="-0.89999084444715716"/>
      <name val="Aptos Narrow"/>
      <family val="2"/>
      <scheme val="minor"/>
    </font>
    <font>
      <sz val="14"/>
      <color theme="1"/>
      <name val="Aptos Narrow"/>
      <family val="2"/>
      <scheme val="minor"/>
    </font>
    <font>
      <b/>
      <sz val="16"/>
      <color theme="1"/>
      <name val="Aptos Narrow"/>
      <family val="2"/>
      <scheme val="minor"/>
    </font>
    <font>
      <b/>
      <sz val="13.5"/>
      <color theme="1"/>
      <name val="Aptos Narrow"/>
      <family val="2"/>
      <scheme val="minor"/>
    </font>
  </fonts>
  <fills count="9">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3" tint="0.749992370372631"/>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0" fontId="1" fillId="2" borderId="0" xfId="0" applyFont="1" applyFill="1"/>
    <xf numFmtId="164" fontId="0" fillId="0" borderId="0" xfId="0" applyNumberFormat="1"/>
    <xf numFmtId="0" fontId="0" fillId="0" borderId="0" xfId="0" pivotButton="1"/>
    <xf numFmtId="0" fontId="0" fillId="0" borderId="0" xfId="0" applyAlignment="1">
      <alignment horizontal="left"/>
    </xf>
    <xf numFmtId="7" fontId="0" fillId="0" borderId="0" xfId="0" applyNumberFormat="1"/>
    <xf numFmtId="165" fontId="0" fillId="0" borderId="0" xfId="0" applyNumberFormat="1"/>
    <xf numFmtId="0" fontId="0" fillId="5" borderId="0" xfId="0" applyFill="1"/>
    <xf numFmtId="166" fontId="0" fillId="0" borderId="0" xfId="0" applyNumberFormat="1"/>
    <xf numFmtId="0" fontId="0" fillId="6" borderId="0" xfId="0" applyFill="1"/>
    <xf numFmtId="0" fontId="6" fillId="7" borderId="0" xfId="0" applyFont="1" applyFill="1" applyAlignment="1">
      <alignment horizontal="center"/>
    </xf>
    <xf numFmtId="0" fontId="6" fillId="8" borderId="0" xfId="0" applyFont="1" applyFill="1" applyAlignment="1">
      <alignment horizontal="center"/>
    </xf>
    <xf numFmtId="0" fontId="1" fillId="4" borderId="0" xfId="0" applyFont="1" applyFill="1"/>
    <xf numFmtId="0" fontId="0" fillId="4" borderId="0" xfId="0" applyFill="1"/>
    <xf numFmtId="0" fontId="8"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center"/>
    </xf>
    <xf numFmtId="0" fontId="4" fillId="3" borderId="0" xfId="0" applyFont="1" applyFill="1" applyAlignment="1">
      <alignment horizontal="center"/>
    </xf>
    <xf numFmtId="0" fontId="2" fillId="3" borderId="0" xfId="0" applyFont="1" applyFill="1" applyAlignment="1">
      <alignment horizontal="center"/>
    </xf>
    <xf numFmtId="0" fontId="3" fillId="4" borderId="0" xfId="0" applyFont="1" applyFill="1" applyAlignment="1">
      <alignment horizontal="center"/>
    </xf>
    <xf numFmtId="0" fontId="5" fillId="4" borderId="0" xfId="0" applyFont="1" applyFill="1" applyAlignment="1">
      <alignment horizontal="center"/>
    </xf>
    <xf numFmtId="0" fontId="3" fillId="3" borderId="0" xfId="0" applyFont="1" applyFill="1" applyAlignment="1">
      <alignment horizontal="center"/>
    </xf>
    <xf numFmtId="0" fontId="6" fillId="4" borderId="0" xfId="0" applyFont="1" applyFill="1" applyAlignment="1">
      <alignment horizontal="center"/>
    </xf>
    <xf numFmtId="0" fontId="6" fillId="3" borderId="0" xfId="0" applyFont="1" applyFill="1" applyAlignment="1">
      <alignment horizontal="center"/>
    </xf>
    <xf numFmtId="0" fontId="7" fillId="3" borderId="0" xfId="0" applyFont="1" applyFill="1" applyAlignment="1">
      <alignment horizontal="center"/>
    </xf>
    <xf numFmtId="0" fontId="0" fillId="6" borderId="0" xfId="0" applyFill="1" applyAlignment="1">
      <alignment horizontal="center"/>
    </xf>
    <xf numFmtId="0" fontId="0" fillId="0" borderId="0" xfId="0" applyNumberFormat="1"/>
  </cellXfs>
  <cellStyles count="1">
    <cellStyle name="Normal" xfId="0" builtinId="0"/>
  </cellStyles>
  <dxfs count="15">
    <dxf>
      <fill>
        <patternFill>
          <bgColor theme="8" tint="0.79998168889431442"/>
        </patternFill>
      </fill>
    </dxf>
    <dxf>
      <fill>
        <patternFill>
          <bgColor rgb="FFFFFF99"/>
        </patternFill>
      </fill>
    </dxf>
    <dxf>
      <fill>
        <patternFill>
          <bgColor rgb="FF66CCFF"/>
        </patternFill>
      </fill>
    </dxf>
    <dxf>
      <fill>
        <patternFill>
          <bgColor theme="0" tint="-0.24994659260841701"/>
        </patternFill>
      </fill>
    </dxf>
    <dxf>
      <fill>
        <patternFill>
          <bgColor rgb="FFFFCCFF"/>
        </patternFill>
      </fill>
    </dxf>
    <dxf>
      <font>
        <color rgb="FF006100"/>
      </font>
      <fill>
        <patternFill>
          <bgColor rgb="FFC6EFCE"/>
        </patternFill>
      </fill>
    </dxf>
    <dxf>
      <fill>
        <patternFill>
          <bgColor theme="7" tint="0.79998168889431442"/>
        </patternFill>
      </fill>
    </dxf>
    <dxf>
      <fill>
        <patternFill>
          <bgColor theme="8" tint="0.79998168889431442"/>
        </patternFill>
      </fill>
    </dxf>
    <dxf>
      <fill>
        <patternFill>
          <bgColor theme="7" tint="0.59996337778862885"/>
        </patternFill>
      </fill>
    </dxf>
    <dxf>
      <fill>
        <patternFill>
          <bgColor theme="9" tint="0.59996337778862885"/>
        </patternFill>
      </fill>
    </dxf>
    <dxf>
      <fill>
        <patternFill>
          <bgColor theme="8" tint="0.59996337778862885"/>
        </patternFill>
      </fill>
    </dxf>
    <dxf>
      <fill>
        <patternFill>
          <bgColor theme="5" tint="0.39994506668294322"/>
        </patternFill>
      </fill>
    </dxf>
    <dxf>
      <fill>
        <patternFill>
          <bgColor theme="4" tint="0.79998168889431442"/>
        </patternFill>
      </fill>
    </dxf>
    <dxf>
      <numFmt numFmtId="0" formatCode="General"/>
    </dxf>
    <dxf>
      <font>
        <b/>
        <i val="0"/>
        <strike val="0"/>
        <condense val="0"/>
        <extend val="0"/>
        <outline val="0"/>
        <shadow val="0"/>
        <u val="none"/>
        <vertAlign val="baseline"/>
        <sz val="11"/>
        <color theme="1"/>
        <name val="Aptos Narrow"/>
        <family val="2"/>
        <scheme val="minor"/>
      </font>
      <fill>
        <patternFill patternType="solid">
          <fgColor indexed="64"/>
          <bgColor theme="6" tint="0.39997558519241921"/>
        </patternFill>
      </fill>
    </dxf>
  </dxfs>
  <tableStyles count="0" defaultTableStyle="TableStyleMedium2" defaultPivotStyle="PivotStyleLight16"/>
  <colors>
    <mruColors>
      <color rgb="FF66CCFF"/>
      <color rgb="FFFFC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26" Type="http://schemas.microsoft.com/office/2007/relationships/slicerCache" Target="slicerCaches/slicerCache17.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microsoft.com/office/2007/relationships/slicerCache" Target="slicerCaches/slicerCache16.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07/relationships/slicerCache" Target="slicerCaches/slicerCache15.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07/relationships/slicerCache" Target="slicerCaches/slicerCache14.xml"/><Relationship Id="rId28" Type="http://schemas.openxmlformats.org/officeDocument/2006/relationships/styles" Target="styles.xml"/><Relationship Id="rId10" Type="http://schemas.microsoft.com/office/2007/relationships/slicerCache" Target="slicerCaches/slicerCache1.xml"/><Relationship Id="rId19" Type="http://schemas.microsoft.com/office/2007/relationships/slicerCache" Target="slicerCaches/slicerCache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07/relationships/slicerCache" Target="slicerCaches/slicerCache13.xml"/><Relationship Id="rId27" Type="http://schemas.openxmlformats.org/officeDocument/2006/relationships/theme" Target="theme/theme1.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Analysis(Project-1).xlsx]Performance Analysis!PivotTable2</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Analysis'!$C$4</c:f>
              <c:strCache>
                <c:ptCount val="1"/>
                <c:pt idx="0">
                  <c:v>Average of Performance_Rating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Analysis'!$B$5:$B$11</c:f>
              <c:strCache>
                <c:ptCount val="6"/>
                <c:pt idx="0">
                  <c:v>Finance</c:v>
                </c:pt>
                <c:pt idx="1">
                  <c:v>HR</c:v>
                </c:pt>
                <c:pt idx="2">
                  <c:v>IT</c:v>
                </c:pt>
                <c:pt idx="3">
                  <c:v>Marketing</c:v>
                </c:pt>
                <c:pt idx="4">
                  <c:v>Operations</c:v>
                </c:pt>
                <c:pt idx="5">
                  <c:v>Sales</c:v>
                </c:pt>
              </c:strCache>
            </c:strRef>
          </c:cat>
          <c:val>
            <c:numRef>
              <c:f>'Performance Analysis'!$C$5:$C$11</c:f>
              <c:numCache>
                <c:formatCode>General</c:formatCode>
                <c:ptCount val="6"/>
                <c:pt idx="0">
                  <c:v>3.7142857142857144</c:v>
                </c:pt>
                <c:pt idx="1">
                  <c:v>3.6</c:v>
                </c:pt>
                <c:pt idx="2">
                  <c:v>3.375</c:v>
                </c:pt>
                <c:pt idx="3">
                  <c:v>3.6190476190476191</c:v>
                </c:pt>
                <c:pt idx="4">
                  <c:v>3.5185185185185186</c:v>
                </c:pt>
                <c:pt idx="5">
                  <c:v>3.4210526315789473</c:v>
                </c:pt>
              </c:numCache>
            </c:numRef>
          </c:val>
          <c:extLst>
            <c:ext xmlns:c16="http://schemas.microsoft.com/office/drawing/2014/chart" uri="{C3380CC4-5D6E-409C-BE32-E72D297353CC}">
              <c16:uniqueId val="{00000000-5543-4A51-A73F-11EBCEA57EC7}"/>
            </c:ext>
          </c:extLst>
        </c:ser>
        <c:ser>
          <c:idx val="1"/>
          <c:order val="1"/>
          <c:tx>
            <c:strRef>
              <c:f>'Performance Analysis'!$D$4</c:f>
              <c:strCache>
                <c:ptCount val="1"/>
                <c:pt idx="0">
                  <c:v>Sum of Projects_Handled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Analysis'!$B$5:$B$11</c:f>
              <c:strCache>
                <c:ptCount val="6"/>
                <c:pt idx="0">
                  <c:v>Finance</c:v>
                </c:pt>
                <c:pt idx="1">
                  <c:v>HR</c:v>
                </c:pt>
                <c:pt idx="2">
                  <c:v>IT</c:v>
                </c:pt>
                <c:pt idx="3">
                  <c:v>Marketing</c:v>
                </c:pt>
                <c:pt idx="4">
                  <c:v>Operations</c:v>
                </c:pt>
                <c:pt idx="5">
                  <c:v>Sales</c:v>
                </c:pt>
              </c:strCache>
            </c:strRef>
          </c:cat>
          <c:val>
            <c:numRef>
              <c:f>'Performance Analysis'!$D$5:$D$11</c:f>
              <c:numCache>
                <c:formatCode>General</c:formatCode>
                <c:ptCount val="6"/>
                <c:pt idx="0">
                  <c:v>74</c:v>
                </c:pt>
                <c:pt idx="1">
                  <c:v>79</c:v>
                </c:pt>
                <c:pt idx="2">
                  <c:v>143</c:v>
                </c:pt>
                <c:pt idx="3">
                  <c:v>125</c:v>
                </c:pt>
                <c:pt idx="4">
                  <c:v>143</c:v>
                </c:pt>
                <c:pt idx="5">
                  <c:v>110</c:v>
                </c:pt>
              </c:numCache>
            </c:numRef>
          </c:val>
          <c:extLst>
            <c:ext xmlns:c16="http://schemas.microsoft.com/office/drawing/2014/chart" uri="{C3380CC4-5D6E-409C-BE32-E72D297353CC}">
              <c16:uniqueId val="{00000001-5543-4A51-A73F-11EBCEA57EC7}"/>
            </c:ext>
          </c:extLst>
        </c:ser>
        <c:dLbls>
          <c:dLblPos val="outEnd"/>
          <c:showLegendKey val="0"/>
          <c:showVal val="1"/>
          <c:showCatName val="0"/>
          <c:showSerName val="0"/>
          <c:showPercent val="0"/>
          <c:showBubbleSize val="0"/>
        </c:dLbls>
        <c:gapWidth val="182"/>
        <c:axId val="890721055"/>
        <c:axId val="890732575"/>
      </c:barChart>
      <c:catAx>
        <c:axId val="8907210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32575"/>
        <c:crosses val="autoZero"/>
        <c:auto val="1"/>
        <c:lblAlgn val="ctr"/>
        <c:lblOffset val="100"/>
        <c:noMultiLvlLbl val="0"/>
      </c:catAx>
      <c:valAx>
        <c:axId val="89073257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2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 Salary Analysis(Project-1).xlsx]Salary&amp;Experiences Analysis!PivotTable3</c:name>
    <c:fmtId val="13"/>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'Salary&amp;Experiences Analysis'!$C$4</c:f>
              <c:strCache>
                <c:ptCount val="1"/>
                <c:pt idx="0">
                  <c:v>Average of Net_Salary</c:v>
                </c:pt>
              </c:strCache>
            </c:strRef>
          </c:tx>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'Salary&amp;Experiences Analysis'!$B$5:$B$8</c:f>
              <c:strCache>
                <c:ptCount val="3"/>
                <c:pt idx="0">
                  <c:v>junior</c:v>
                </c:pt>
                <c:pt idx="1">
                  <c:v>mid-level,</c:v>
                </c:pt>
                <c:pt idx="2">
                  <c:v>senior</c:v>
                </c:pt>
              </c:strCache>
            </c:strRef>
          </c:cat>
          <c:val>
            <c:numRef>
              <c:f>'Salary&amp;Experiences Analysis'!$C$5:$C$8</c:f>
              <c:numCache>
                <c:formatCode>General</c:formatCode>
                <c:ptCount val="3"/>
                <c:pt idx="0">
                  <c:v>62370.05</c:v>
                </c:pt>
                <c:pt idx="1">
                  <c:v>62725.431372549021</c:v>
                </c:pt>
                <c:pt idx="2">
                  <c:v>61622</c:v>
                </c:pt>
              </c:numCache>
            </c:numRef>
          </c:val>
          <c:extLst>
            <c:ext xmlns:c16="http://schemas.microsoft.com/office/drawing/2014/chart" uri="{C3380CC4-5D6E-409C-BE32-E72D297353CC}">
              <c16:uniqueId val="{00000000-9447-46F5-93AD-12E4D1959F2D}"/>
            </c:ext>
          </c:extLst>
        </c:ser>
        <c:ser>
          <c:idx val="1"/>
          <c:order val="1"/>
          <c:tx>
            <c:strRef>
              <c:f>'Salary&amp;Experiences Analysis'!$D$4</c:f>
              <c:strCache>
                <c:ptCount val="1"/>
                <c:pt idx="0">
                  <c:v>Count of Emp_ID</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'Salary&amp;Experiences Analysis'!$B$5:$B$8</c:f>
              <c:strCache>
                <c:ptCount val="3"/>
                <c:pt idx="0">
                  <c:v>junior</c:v>
                </c:pt>
                <c:pt idx="1">
                  <c:v>mid-level,</c:v>
                </c:pt>
                <c:pt idx="2">
                  <c:v>senior</c:v>
                </c:pt>
              </c:strCache>
            </c:strRef>
          </c:cat>
          <c:val>
            <c:numRef>
              <c:f>'Salary&amp;Experiences Analysis'!$D$5:$D$8</c:f>
              <c:numCache>
                <c:formatCode>General</c:formatCode>
                <c:ptCount val="3"/>
                <c:pt idx="0">
                  <c:v>20</c:v>
                </c:pt>
                <c:pt idx="1">
                  <c:v>51</c:v>
                </c:pt>
                <c:pt idx="2">
                  <c:v>49</c:v>
                </c:pt>
              </c:numCache>
            </c:numRef>
          </c:val>
          <c:extLst>
            <c:ext xmlns:c16="http://schemas.microsoft.com/office/drawing/2014/chart" uri="{C3380CC4-5D6E-409C-BE32-E72D297353CC}">
              <c16:uniqueId val="{00000001-9447-46F5-93AD-12E4D1959F2D}"/>
            </c:ext>
          </c:extLst>
        </c:ser>
        <c:dLbls>
          <c:dLblPos val="outEnd"/>
          <c:showLegendKey val="0"/>
          <c:showVal val="1"/>
          <c:showCatName val="0"/>
          <c:showSerName val="0"/>
          <c:showPercent val="0"/>
          <c:showBubbleSize val="0"/>
        </c:dLbls>
        <c:gapWidth val="219"/>
        <c:axId val="852528911"/>
        <c:axId val="852529871"/>
      </c:barChart>
      <c:catAx>
        <c:axId val="85252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529871"/>
        <c:crosses val="autoZero"/>
        <c:auto val="1"/>
        <c:lblAlgn val="ctr"/>
        <c:lblOffset val="100"/>
        <c:noMultiLvlLbl val="0"/>
      </c:catAx>
      <c:valAx>
        <c:axId val="85252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52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 Salary Analysis(Project-1).xlsx]Payroll Analysis!PivotTable1</c:name>
    <c:fmtId val="17"/>
  </c:pivotSource>
  <c:chart>
    <c:autoTitleDeleted val="0"/>
    <c:pivotFmts>
      <c:pivotFmt>
        <c:idx val="0"/>
        <c:spPr>
          <a:solidFill>
            <a:schemeClr val="accent5"/>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8993106498284"/>
          <c:y val="0.25721788511806509"/>
          <c:w val="0.6408354089667363"/>
          <c:h val="0.65890128317293672"/>
        </c:manualLayout>
      </c:layout>
      <c:bar3DChart>
        <c:barDir val="col"/>
        <c:grouping val="clustered"/>
        <c:varyColors val="0"/>
        <c:ser>
          <c:idx val="0"/>
          <c:order val="0"/>
          <c:tx>
            <c:strRef>
              <c:f>'Payroll Analysis'!$C$16</c:f>
              <c:strCache>
                <c:ptCount val="1"/>
                <c:pt idx="0">
                  <c:v>Count of Emp_ID</c:v>
                </c:pt>
              </c:strCache>
            </c:strRef>
          </c:tx>
          <c:spPr>
            <a:solidFill>
              <a:schemeClr val="accent5">
                <a:shade val="76000"/>
              </a:schemeClr>
            </a:solidFill>
            <a:ln>
              <a:noFill/>
            </a:ln>
            <a:effectLst/>
            <a:sp3d/>
          </c:spPr>
          <c:invertIfNegative val="0"/>
          <c:dPt>
            <c:idx val="0"/>
            <c:invertIfNegative val="0"/>
            <c:bubble3D val="0"/>
            <c:extLst>
              <c:ext xmlns:c16="http://schemas.microsoft.com/office/drawing/2014/chart" uri="{C3380CC4-5D6E-409C-BE32-E72D297353CC}">
                <c16:uniqueId val="{00000000-3ADB-46AC-8908-AC11A8FA1515}"/>
              </c:ext>
            </c:extLst>
          </c:dPt>
          <c:cat>
            <c:strRef>
              <c:f>'Payroll Analysis'!$B$17:$B$23</c:f>
              <c:strCache>
                <c:ptCount val="6"/>
                <c:pt idx="0">
                  <c:v>Finance</c:v>
                </c:pt>
                <c:pt idx="1">
                  <c:v>HR</c:v>
                </c:pt>
                <c:pt idx="2">
                  <c:v>IT</c:v>
                </c:pt>
                <c:pt idx="3">
                  <c:v>Marketing</c:v>
                </c:pt>
                <c:pt idx="4">
                  <c:v>Operations</c:v>
                </c:pt>
                <c:pt idx="5">
                  <c:v>Sales</c:v>
                </c:pt>
              </c:strCache>
            </c:strRef>
          </c:cat>
          <c:val>
            <c:numRef>
              <c:f>'Payroll Analysis'!$C$17:$C$23</c:f>
              <c:numCache>
                <c:formatCode>General</c:formatCode>
                <c:ptCount val="6"/>
                <c:pt idx="0">
                  <c:v>14</c:v>
                </c:pt>
                <c:pt idx="1">
                  <c:v>15</c:v>
                </c:pt>
                <c:pt idx="2">
                  <c:v>24</c:v>
                </c:pt>
                <c:pt idx="3">
                  <c:v>21</c:v>
                </c:pt>
                <c:pt idx="4">
                  <c:v>27</c:v>
                </c:pt>
                <c:pt idx="5">
                  <c:v>19</c:v>
                </c:pt>
              </c:numCache>
            </c:numRef>
          </c:val>
          <c:extLst>
            <c:ext xmlns:c16="http://schemas.microsoft.com/office/drawing/2014/chart" uri="{C3380CC4-5D6E-409C-BE32-E72D297353CC}">
              <c16:uniqueId val="{00000000-D94D-4C0B-A1CD-4027801C297D}"/>
            </c:ext>
          </c:extLst>
        </c:ser>
        <c:ser>
          <c:idx val="1"/>
          <c:order val="1"/>
          <c:tx>
            <c:strRef>
              <c:f>'Payroll Analysis'!$D$16</c:f>
              <c:strCache>
                <c:ptCount val="1"/>
                <c:pt idx="0">
                  <c:v>Sum of Net_Salary</c:v>
                </c:pt>
              </c:strCache>
            </c:strRef>
          </c:tx>
          <c:spPr>
            <a:solidFill>
              <a:schemeClr val="accent5">
                <a:tint val="77000"/>
              </a:schemeClr>
            </a:solidFill>
            <a:ln>
              <a:noFill/>
            </a:ln>
            <a:effectLst/>
            <a:sp3d/>
          </c:spPr>
          <c:invertIfNegative val="0"/>
          <c:cat>
            <c:strRef>
              <c:f>'Payroll Analysis'!$B$17:$B$23</c:f>
              <c:strCache>
                <c:ptCount val="6"/>
                <c:pt idx="0">
                  <c:v>Finance</c:v>
                </c:pt>
                <c:pt idx="1">
                  <c:v>HR</c:v>
                </c:pt>
                <c:pt idx="2">
                  <c:v>IT</c:v>
                </c:pt>
                <c:pt idx="3">
                  <c:v>Marketing</c:v>
                </c:pt>
                <c:pt idx="4">
                  <c:v>Operations</c:v>
                </c:pt>
                <c:pt idx="5">
                  <c:v>Sales</c:v>
                </c:pt>
              </c:strCache>
            </c:strRef>
          </c:cat>
          <c:val>
            <c:numRef>
              <c:f>'Payroll Analysis'!$D$17:$D$23</c:f>
              <c:numCache>
                <c:formatCode>General</c:formatCode>
                <c:ptCount val="6"/>
                <c:pt idx="0">
                  <c:v>789882</c:v>
                </c:pt>
                <c:pt idx="1">
                  <c:v>851332</c:v>
                </c:pt>
                <c:pt idx="2">
                  <c:v>1551563</c:v>
                </c:pt>
                <c:pt idx="3">
                  <c:v>1349430</c:v>
                </c:pt>
                <c:pt idx="4">
                  <c:v>1700115</c:v>
                </c:pt>
                <c:pt idx="5">
                  <c:v>1223554</c:v>
                </c:pt>
              </c:numCache>
            </c:numRef>
          </c:val>
          <c:extLst>
            <c:ext xmlns:c16="http://schemas.microsoft.com/office/drawing/2014/chart" uri="{C3380CC4-5D6E-409C-BE32-E72D297353CC}">
              <c16:uniqueId val="{00000004-C7DA-4B54-9646-17FED999D584}"/>
            </c:ext>
          </c:extLst>
        </c:ser>
        <c:dLbls>
          <c:showLegendKey val="0"/>
          <c:showVal val="0"/>
          <c:showCatName val="0"/>
          <c:showSerName val="0"/>
          <c:showPercent val="0"/>
          <c:showBubbleSize val="0"/>
        </c:dLbls>
        <c:gapWidth val="150"/>
        <c:shape val="box"/>
        <c:axId val="817767823"/>
        <c:axId val="817768303"/>
        <c:axId val="0"/>
      </c:bar3DChart>
      <c:catAx>
        <c:axId val="817767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68303"/>
        <c:crosses val="autoZero"/>
        <c:auto val="1"/>
        <c:lblAlgn val="ctr"/>
        <c:lblOffset val="100"/>
        <c:noMultiLvlLbl val="0"/>
      </c:catAx>
      <c:valAx>
        <c:axId val="81776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6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Salary Analysis(Project-1).xlsx]Payroll Analysis!PivotTable1</c:name>
    <c:fmtId val="3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'Payroll Analysis'!$C$16</c:f>
              <c:strCache>
                <c:ptCount val="1"/>
                <c:pt idx="0">
                  <c:v>Count of Emp_ID</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'Payroll Analysis'!$B$17:$B$23</c:f>
              <c:strCache>
                <c:ptCount val="6"/>
                <c:pt idx="0">
                  <c:v>Finance</c:v>
                </c:pt>
                <c:pt idx="1">
                  <c:v>HR</c:v>
                </c:pt>
                <c:pt idx="2">
                  <c:v>IT</c:v>
                </c:pt>
                <c:pt idx="3">
                  <c:v>Marketing</c:v>
                </c:pt>
                <c:pt idx="4">
                  <c:v>Operations</c:v>
                </c:pt>
                <c:pt idx="5">
                  <c:v>Sales</c:v>
                </c:pt>
              </c:strCache>
            </c:strRef>
          </c:cat>
          <c:val>
            <c:numRef>
              <c:f>'Payroll Analysis'!$C$17:$C$23</c:f>
              <c:numCache>
                <c:formatCode>General</c:formatCode>
                <c:ptCount val="6"/>
                <c:pt idx="0">
                  <c:v>14</c:v>
                </c:pt>
                <c:pt idx="1">
                  <c:v>15</c:v>
                </c:pt>
                <c:pt idx="2">
                  <c:v>24</c:v>
                </c:pt>
                <c:pt idx="3">
                  <c:v>21</c:v>
                </c:pt>
                <c:pt idx="4">
                  <c:v>27</c:v>
                </c:pt>
                <c:pt idx="5">
                  <c:v>19</c:v>
                </c:pt>
              </c:numCache>
            </c:numRef>
          </c:val>
          <c:extLst>
            <c:ext xmlns:c16="http://schemas.microsoft.com/office/drawing/2014/chart" uri="{C3380CC4-5D6E-409C-BE32-E72D297353CC}">
              <c16:uniqueId val="{00000000-E2CD-4A63-8915-950975BFB225}"/>
            </c:ext>
          </c:extLst>
        </c:ser>
        <c:ser>
          <c:idx val="1"/>
          <c:order val="1"/>
          <c:tx>
            <c:strRef>
              <c:f>'Payroll Analysis'!$D$16</c:f>
              <c:strCache>
                <c:ptCount val="1"/>
                <c:pt idx="0">
                  <c:v>Sum of Net_Salary</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'Payroll Analysis'!$B$17:$B$23</c:f>
              <c:strCache>
                <c:ptCount val="6"/>
                <c:pt idx="0">
                  <c:v>Finance</c:v>
                </c:pt>
                <c:pt idx="1">
                  <c:v>HR</c:v>
                </c:pt>
                <c:pt idx="2">
                  <c:v>IT</c:v>
                </c:pt>
                <c:pt idx="3">
                  <c:v>Marketing</c:v>
                </c:pt>
                <c:pt idx="4">
                  <c:v>Operations</c:v>
                </c:pt>
                <c:pt idx="5">
                  <c:v>Sales</c:v>
                </c:pt>
              </c:strCache>
            </c:strRef>
          </c:cat>
          <c:val>
            <c:numRef>
              <c:f>'Payroll Analysis'!$D$17:$D$23</c:f>
              <c:numCache>
                <c:formatCode>General</c:formatCode>
                <c:ptCount val="6"/>
                <c:pt idx="0">
                  <c:v>789882</c:v>
                </c:pt>
                <c:pt idx="1">
                  <c:v>851332</c:v>
                </c:pt>
                <c:pt idx="2">
                  <c:v>1551563</c:v>
                </c:pt>
                <c:pt idx="3">
                  <c:v>1349430</c:v>
                </c:pt>
                <c:pt idx="4">
                  <c:v>1700115</c:v>
                </c:pt>
                <c:pt idx="5">
                  <c:v>1223554</c:v>
                </c:pt>
              </c:numCache>
            </c:numRef>
          </c:val>
          <c:extLst>
            <c:ext xmlns:c16="http://schemas.microsoft.com/office/drawing/2014/chart" uri="{C3380CC4-5D6E-409C-BE32-E72D297353CC}">
              <c16:uniqueId val="{00000003-A06A-4A66-8929-F57DA9D674FB}"/>
            </c:ext>
          </c:extLst>
        </c:ser>
        <c:dLbls>
          <c:dLblPos val="outEnd"/>
          <c:showLegendKey val="0"/>
          <c:showVal val="1"/>
          <c:showCatName val="0"/>
          <c:showSerName val="0"/>
          <c:showPercent val="0"/>
          <c:showBubbleSize val="0"/>
        </c:dLbls>
        <c:gapWidth val="182"/>
        <c:axId val="842338415"/>
        <c:axId val="842340335"/>
      </c:barChart>
      <c:catAx>
        <c:axId val="8423384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40335"/>
        <c:crosses val="autoZero"/>
        <c:auto val="1"/>
        <c:lblAlgn val="ctr"/>
        <c:lblOffset val="100"/>
        <c:noMultiLvlLbl val="0"/>
      </c:catAx>
      <c:valAx>
        <c:axId val="84234033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3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Analysis(Project-1).xlsx]Payroll Analysis!PivotTable4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219300248956998E-2"/>
          <c:y val="0.28156573555506575"/>
          <c:w val="0.73780629851430279"/>
          <c:h val="0.55131829143603828"/>
        </c:manualLayout>
      </c:layout>
      <c:pie3DChart>
        <c:varyColors val="1"/>
        <c:ser>
          <c:idx val="0"/>
          <c:order val="0"/>
          <c:tx>
            <c:strRef>
              <c:f>'Payroll Analysis'!$C$37</c:f>
              <c:strCache>
                <c:ptCount val="1"/>
                <c:pt idx="0">
                  <c:v>Sum of Net_Salary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A04-4413-9AAC-BCABD0F4763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A04-4413-9AAC-BCABD0F4763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A04-4413-9AAC-BCABD0F4763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A04-4413-9AAC-BCABD0F4763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5FE3-48C6-B3EF-5D97DCFCD52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A04-4413-9AAC-BCABD0F476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'Payroll Analysis'!$B$38:$B$44</c:f>
              <c:strCache>
                <c:ptCount val="6"/>
                <c:pt idx="0">
                  <c:v>Finance</c:v>
                </c:pt>
                <c:pt idx="1">
                  <c:v>HR</c:v>
                </c:pt>
                <c:pt idx="2">
                  <c:v>IT</c:v>
                </c:pt>
                <c:pt idx="3">
                  <c:v>Marketing</c:v>
                </c:pt>
                <c:pt idx="4">
                  <c:v>Operations</c:v>
                </c:pt>
                <c:pt idx="5">
                  <c:v>Sales</c:v>
                </c:pt>
              </c:strCache>
            </c:strRef>
          </c:cat>
          <c:val>
            <c:numRef>
              <c:f>'Payroll Analysis'!$C$38:$C$44</c:f>
              <c:numCache>
                <c:formatCode>General</c:formatCode>
                <c:ptCount val="6"/>
                <c:pt idx="0">
                  <c:v>789882</c:v>
                </c:pt>
                <c:pt idx="1">
                  <c:v>851332</c:v>
                </c:pt>
                <c:pt idx="2">
                  <c:v>1551563</c:v>
                </c:pt>
                <c:pt idx="3">
                  <c:v>1349430</c:v>
                </c:pt>
                <c:pt idx="4">
                  <c:v>1700115</c:v>
                </c:pt>
                <c:pt idx="5">
                  <c:v>1223554</c:v>
                </c:pt>
              </c:numCache>
            </c:numRef>
          </c:val>
          <c:extLst>
            <c:ext xmlns:c16="http://schemas.microsoft.com/office/drawing/2014/chart" uri="{C3380CC4-5D6E-409C-BE32-E72D297353CC}">
              <c16:uniqueId val="{00000000-5FE3-48C6-B3EF-5D97DCFCD525}"/>
            </c:ext>
          </c:extLst>
        </c:ser>
        <c:ser>
          <c:idx val="1"/>
          <c:order val="1"/>
          <c:tx>
            <c:strRef>
              <c:f>'Payroll Analysis'!$D$37</c:f>
              <c:strCache>
                <c:ptCount val="1"/>
                <c:pt idx="0">
                  <c:v>Count of Emp_ID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3A04-4413-9AAC-BCABD0F4763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3A04-4413-9AAC-BCABD0F4763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3A04-4413-9AAC-BCABD0F4763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3A04-4413-9AAC-BCABD0F4763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3A04-4413-9AAC-BCABD0F4763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3A04-4413-9AAC-BCABD0F47639}"/>
              </c:ext>
            </c:extLst>
          </c:dPt>
          <c:cat>
            <c:strRef>
              <c:f>'Payroll Analysis'!$B$38:$B$44</c:f>
              <c:strCache>
                <c:ptCount val="6"/>
                <c:pt idx="0">
                  <c:v>Finance</c:v>
                </c:pt>
                <c:pt idx="1">
                  <c:v>HR</c:v>
                </c:pt>
                <c:pt idx="2">
                  <c:v>IT</c:v>
                </c:pt>
                <c:pt idx="3">
                  <c:v>Marketing</c:v>
                </c:pt>
                <c:pt idx="4">
                  <c:v>Operations</c:v>
                </c:pt>
                <c:pt idx="5">
                  <c:v>Sales</c:v>
                </c:pt>
              </c:strCache>
            </c:strRef>
          </c:cat>
          <c:val>
            <c:numRef>
              <c:f>'Payroll Analysis'!$D$38:$D$44</c:f>
              <c:numCache>
                <c:formatCode>General</c:formatCode>
                <c:ptCount val="6"/>
                <c:pt idx="0">
                  <c:v>14</c:v>
                </c:pt>
                <c:pt idx="1">
                  <c:v>15</c:v>
                </c:pt>
                <c:pt idx="2">
                  <c:v>24</c:v>
                </c:pt>
                <c:pt idx="3">
                  <c:v>21</c:v>
                </c:pt>
                <c:pt idx="4">
                  <c:v>27</c:v>
                </c:pt>
                <c:pt idx="5">
                  <c:v>19</c:v>
                </c:pt>
              </c:numCache>
            </c:numRef>
          </c:val>
          <c:extLst>
            <c:ext xmlns:c16="http://schemas.microsoft.com/office/drawing/2014/chart" uri="{C3380CC4-5D6E-409C-BE32-E72D297353CC}">
              <c16:uniqueId val="{00000001-5FE3-48C6-B3EF-5D97DCFCD52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Salary Analysis(Project-1).xlsx]Department&amp;Location Analysis!PivotTable2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'Department&amp;Location Analysis'!$C$8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'Department&amp;Location Analysis'!$B$9:$B$15</c:f>
              <c:strCache>
                <c:ptCount val="6"/>
                <c:pt idx="0">
                  <c:v>Finance</c:v>
                </c:pt>
                <c:pt idx="1">
                  <c:v>HR</c:v>
                </c:pt>
                <c:pt idx="2">
                  <c:v>IT</c:v>
                </c:pt>
                <c:pt idx="3">
                  <c:v>Marketing</c:v>
                </c:pt>
                <c:pt idx="4">
                  <c:v>Operations</c:v>
                </c:pt>
                <c:pt idx="5">
                  <c:v>Sales</c:v>
                </c:pt>
              </c:strCache>
            </c:strRef>
          </c:cat>
          <c:val>
            <c:numRef>
              <c:f>'Department&amp;Location Analysis'!$C$9:$C$15</c:f>
              <c:numCache>
                <c:formatCode>General</c:formatCode>
                <c:ptCount val="6"/>
                <c:pt idx="0">
                  <c:v>14</c:v>
                </c:pt>
                <c:pt idx="1">
                  <c:v>15</c:v>
                </c:pt>
                <c:pt idx="2">
                  <c:v>24</c:v>
                </c:pt>
                <c:pt idx="3">
                  <c:v>21</c:v>
                </c:pt>
                <c:pt idx="4">
                  <c:v>27</c:v>
                </c:pt>
                <c:pt idx="5">
                  <c:v>19</c:v>
                </c:pt>
              </c:numCache>
            </c:numRef>
          </c:val>
          <c:extLst>
            <c:ext xmlns:c16="http://schemas.microsoft.com/office/drawing/2014/chart" uri="{C3380CC4-5D6E-409C-BE32-E72D297353CC}">
              <c16:uniqueId val="{00000000-7DAF-4044-8769-2EBA937167E1}"/>
            </c:ext>
          </c:extLst>
        </c:ser>
        <c:dLbls>
          <c:dLblPos val="outEnd"/>
          <c:showLegendKey val="0"/>
          <c:showVal val="1"/>
          <c:showCatName val="0"/>
          <c:showSerName val="0"/>
          <c:showPercent val="0"/>
          <c:showBubbleSize val="0"/>
        </c:dLbls>
        <c:gapWidth val="219"/>
        <c:overlap val="-27"/>
        <c:axId val="1247942239"/>
        <c:axId val="1247943679"/>
      </c:barChart>
      <c:catAx>
        <c:axId val="124794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943679"/>
        <c:crosses val="autoZero"/>
        <c:auto val="1"/>
        <c:lblAlgn val="ctr"/>
        <c:lblOffset val="100"/>
        <c:noMultiLvlLbl val="0"/>
      </c:catAx>
      <c:valAx>
        <c:axId val="124794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94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Analysis(Project-1).xlsx]Department&amp;Location Analysis!PivotTable5</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'Department&amp;Location Analysis'!$C$46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CA-4D9C-BB47-4FA8A8D808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A-4D9C-BB47-4FA8A8D808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CA-4D9C-BB47-4FA8A8D808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CA-4D9C-BB47-4FA8A8D808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CA-4D9C-BB47-4FA8A8D808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CA-4D9C-BB47-4FA8A8D808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'Department&amp;Location Analysis'!$B$47:$B$53</c:f>
              <c:strCache>
                <c:ptCount val="6"/>
                <c:pt idx="0">
                  <c:v>Bangalore</c:v>
                </c:pt>
                <c:pt idx="1">
                  <c:v>Chennai</c:v>
                </c:pt>
                <c:pt idx="2">
                  <c:v>Delhi</c:v>
                </c:pt>
                <c:pt idx="3">
                  <c:v>Hyderabad</c:v>
                </c:pt>
                <c:pt idx="4">
                  <c:v>Mumbai</c:v>
                </c:pt>
                <c:pt idx="5">
                  <c:v>Pune</c:v>
                </c:pt>
              </c:strCache>
            </c:strRef>
          </c:cat>
          <c:val>
            <c:numRef>
              <c:f>'Department&amp;Location Analysis'!$C$47:$C$53</c:f>
              <c:numCache>
                <c:formatCode>"₹"\ #,##0.00</c:formatCode>
                <c:ptCount val="6"/>
                <c:pt idx="0">
                  <c:v>1413745</c:v>
                </c:pt>
                <c:pt idx="1">
                  <c:v>843394</c:v>
                </c:pt>
                <c:pt idx="2">
                  <c:v>1294221</c:v>
                </c:pt>
                <c:pt idx="3">
                  <c:v>806153</c:v>
                </c:pt>
                <c:pt idx="4">
                  <c:v>1474038</c:v>
                </c:pt>
                <c:pt idx="5">
                  <c:v>1634325</c:v>
                </c:pt>
              </c:numCache>
            </c:numRef>
          </c:val>
          <c:extLst>
            <c:ext xmlns:c16="http://schemas.microsoft.com/office/drawing/2014/chart" uri="{C3380CC4-5D6E-409C-BE32-E72D297353CC}">
              <c16:uniqueId val="{00000002-EC0E-4A4B-99EE-2C69D138FF1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Salary Analysis(Project-1).xlsx]Department&amp;Location Analysis!PivotTable4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'Department&amp;Location Analysis'!$C$26</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'Department&amp;Location Analysis'!$B$27:$B$33</c:f>
              <c:strCache>
                <c:ptCount val="6"/>
                <c:pt idx="0">
                  <c:v>Finance</c:v>
                </c:pt>
                <c:pt idx="1">
                  <c:v>HR</c:v>
                </c:pt>
                <c:pt idx="2">
                  <c:v>IT</c:v>
                </c:pt>
                <c:pt idx="3">
                  <c:v>Marketing</c:v>
                </c:pt>
                <c:pt idx="4">
                  <c:v>Operations</c:v>
                </c:pt>
                <c:pt idx="5">
                  <c:v>Sales</c:v>
                </c:pt>
              </c:strCache>
            </c:strRef>
          </c:cat>
          <c:val>
            <c:numRef>
              <c:f>'Department&amp;Location Analysis'!$C$27:$C$33</c:f>
              <c:numCache>
                <c:formatCode>General</c:formatCode>
                <c:ptCount val="6"/>
                <c:pt idx="0">
                  <c:v>789882</c:v>
                </c:pt>
                <c:pt idx="1">
                  <c:v>851332</c:v>
                </c:pt>
                <c:pt idx="2">
                  <c:v>1551563</c:v>
                </c:pt>
                <c:pt idx="3">
                  <c:v>1349430</c:v>
                </c:pt>
                <c:pt idx="4">
                  <c:v>1700115</c:v>
                </c:pt>
                <c:pt idx="5">
                  <c:v>1223554</c:v>
                </c:pt>
              </c:numCache>
            </c:numRef>
          </c:val>
          <c:extLst>
            <c:ext xmlns:c16="http://schemas.microsoft.com/office/drawing/2014/chart" uri="{C3380CC4-5D6E-409C-BE32-E72D297353CC}">
              <c16:uniqueId val="{00000000-6F68-458E-A425-F9624BD2FF1E}"/>
            </c:ext>
          </c:extLst>
        </c:ser>
        <c:dLbls>
          <c:dLblPos val="inEnd"/>
          <c:showLegendKey val="0"/>
          <c:showVal val="1"/>
          <c:showCatName val="0"/>
          <c:showSerName val="0"/>
          <c:showPercent val="0"/>
          <c:showBubbleSize val="0"/>
        </c:dLbls>
        <c:gapWidth val="182"/>
        <c:axId val="1234872319"/>
        <c:axId val="1234876639"/>
      </c:barChart>
      <c:catAx>
        <c:axId val="1234872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76639"/>
        <c:crosses val="autoZero"/>
        <c:auto val="1"/>
        <c:lblAlgn val="ctr"/>
        <c:lblOffset val="100"/>
        <c:noMultiLvlLbl val="0"/>
      </c:catAx>
      <c:valAx>
        <c:axId val="123487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7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 Salary Analysis(Project-1).xlsx]Department&amp;Location Analysis!PivotTable6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'Department&amp;Location Analysis'!$S$44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'Department&amp;Location Analysis'!$R$45:$R$51</c:f>
              <c:strCache>
                <c:ptCount val="6"/>
                <c:pt idx="0">
                  <c:v>Bangalore</c:v>
                </c:pt>
                <c:pt idx="1">
                  <c:v>Chennai</c:v>
                </c:pt>
                <c:pt idx="2">
                  <c:v>Delhi</c:v>
                </c:pt>
                <c:pt idx="3">
                  <c:v>Hyderabad</c:v>
                </c:pt>
                <c:pt idx="4">
                  <c:v>Mumbai</c:v>
                </c:pt>
                <c:pt idx="5">
                  <c:v>Pune</c:v>
                </c:pt>
              </c:strCache>
            </c:strRef>
          </c:cat>
          <c:val>
            <c:numRef>
              <c:f>'Department&amp;Location Analysis'!$S$45:$S$51</c:f>
              <c:numCache>
                <c:formatCode>"₹"\ #,##0</c:formatCode>
                <c:ptCount val="6"/>
                <c:pt idx="0">
                  <c:v>1413745</c:v>
                </c:pt>
                <c:pt idx="1">
                  <c:v>843394</c:v>
                </c:pt>
                <c:pt idx="2">
                  <c:v>1294221</c:v>
                </c:pt>
                <c:pt idx="3">
                  <c:v>806153</c:v>
                </c:pt>
                <c:pt idx="4">
                  <c:v>1474038</c:v>
                </c:pt>
                <c:pt idx="5">
                  <c:v>1634325</c:v>
                </c:pt>
              </c:numCache>
            </c:numRef>
          </c:val>
          <c:extLst>
            <c:ext xmlns:c16="http://schemas.microsoft.com/office/drawing/2014/chart" uri="{C3380CC4-5D6E-409C-BE32-E72D297353CC}">
              <c16:uniqueId val="{00000000-20CA-4EDD-8FDC-E1C2811F20A4}"/>
            </c:ext>
          </c:extLst>
        </c:ser>
        <c:dLbls>
          <c:showLegendKey val="0"/>
          <c:showVal val="0"/>
          <c:showCatName val="0"/>
          <c:showSerName val="0"/>
          <c:showPercent val="0"/>
          <c:showBubbleSize val="0"/>
        </c:dLbls>
        <c:gapWidth val="219"/>
        <c:overlap val="-27"/>
        <c:axId val="1207722095"/>
        <c:axId val="1207725935"/>
      </c:barChart>
      <c:catAx>
        <c:axId val="120772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25935"/>
        <c:crosses val="autoZero"/>
        <c:auto val="1"/>
        <c:lblAlgn val="ctr"/>
        <c:lblOffset val="100"/>
        <c:noMultiLvlLbl val="0"/>
      </c:catAx>
      <c:valAx>
        <c:axId val="12077259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2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Analysis(Project-1).xlsx]Employee Demographics!PivotTable4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'Employee Demographics'!$C$4</c:f>
              <c:strCache>
                <c:ptCount val="1"/>
                <c:pt idx="0">
                  <c:v>Count of Emp_ID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F6-40A8-9978-693069E228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F6-40A8-9978-693069E228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Demographics'!$B$5:$B$7</c:f>
              <c:strCache>
                <c:ptCount val="2"/>
                <c:pt idx="0">
                  <c:v>Female</c:v>
                </c:pt>
                <c:pt idx="1">
                  <c:v>Male</c:v>
                </c:pt>
              </c:strCache>
            </c:strRef>
          </c:cat>
          <c:val>
            <c:numRef>
              <c:f>'Employee Demographics'!$C$5:$C$7</c:f>
              <c:numCache>
                <c:formatCode>General</c:formatCode>
                <c:ptCount val="2"/>
                <c:pt idx="0">
                  <c:v>60</c:v>
                </c:pt>
                <c:pt idx="1">
                  <c:v>60</c:v>
                </c:pt>
              </c:numCache>
            </c:numRef>
          </c:val>
          <c:extLst>
            <c:ext xmlns:c16="http://schemas.microsoft.com/office/drawing/2014/chart" uri="{C3380CC4-5D6E-409C-BE32-E72D297353CC}">
              <c16:uniqueId val="{00000000-CD1D-4EAA-B7B9-0B5E15FB1FBF}"/>
            </c:ext>
          </c:extLst>
        </c:ser>
        <c:ser>
          <c:idx val="1"/>
          <c:order val="1"/>
          <c:tx>
            <c:strRef>
              <c:f>'Employee Demographics'!$D$4</c:f>
              <c:strCache>
                <c:ptCount val="1"/>
                <c:pt idx="0">
                  <c:v>Average of Net_Salary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8F6-40A8-9978-693069E228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8F6-40A8-9978-693069E228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Demographics'!$B$5:$B$7</c:f>
              <c:strCache>
                <c:ptCount val="2"/>
                <c:pt idx="0">
                  <c:v>Female</c:v>
                </c:pt>
                <c:pt idx="1">
                  <c:v>Male</c:v>
                </c:pt>
              </c:strCache>
            </c:strRef>
          </c:cat>
          <c:val>
            <c:numRef>
              <c:f>'Employee Demographics'!$D$5:$D$7</c:f>
              <c:numCache>
                <c:formatCode>General</c:formatCode>
                <c:ptCount val="2"/>
                <c:pt idx="0">
                  <c:v>62954.416666666664</c:v>
                </c:pt>
                <c:pt idx="1">
                  <c:v>61476.85</c:v>
                </c:pt>
              </c:numCache>
            </c:numRef>
          </c:val>
          <c:extLst>
            <c:ext xmlns:c16="http://schemas.microsoft.com/office/drawing/2014/chart" uri="{C3380CC4-5D6E-409C-BE32-E72D297353CC}">
              <c16:uniqueId val="{00000001-CD1D-4EAA-B7B9-0B5E15FB1F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Salary Analysis(Project-1).xlsx]Employee Demographics!PivotTable1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Demographics'!$C$31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Demographics'!$B$32:$B$37</c:f>
              <c:strCache>
                <c:ptCount val="5"/>
                <c:pt idx="0">
                  <c:v>B.Com</c:v>
                </c:pt>
                <c:pt idx="1">
                  <c:v>B.Sc</c:v>
                </c:pt>
                <c:pt idx="2">
                  <c:v>B.Tech</c:v>
                </c:pt>
                <c:pt idx="3">
                  <c:v>M.Sc</c:v>
                </c:pt>
                <c:pt idx="4">
                  <c:v>MBA</c:v>
                </c:pt>
              </c:strCache>
            </c:strRef>
          </c:cat>
          <c:val>
            <c:numRef>
              <c:f>'Employee Demographics'!$C$32:$C$37</c:f>
              <c:numCache>
                <c:formatCode>General</c:formatCode>
                <c:ptCount val="5"/>
                <c:pt idx="0">
                  <c:v>22</c:v>
                </c:pt>
                <c:pt idx="1">
                  <c:v>22</c:v>
                </c:pt>
                <c:pt idx="2">
                  <c:v>20</c:v>
                </c:pt>
                <c:pt idx="3">
                  <c:v>31</c:v>
                </c:pt>
                <c:pt idx="4">
                  <c:v>25</c:v>
                </c:pt>
              </c:numCache>
            </c:numRef>
          </c:val>
          <c:extLst>
            <c:ext xmlns:c16="http://schemas.microsoft.com/office/drawing/2014/chart" uri="{C3380CC4-5D6E-409C-BE32-E72D297353CC}">
              <c16:uniqueId val="{00000003-710A-4975-BEBA-BD29022CFE9C}"/>
            </c:ext>
          </c:extLst>
        </c:ser>
        <c:dLbls>
          <c:dLblPos val="outEnd"/>
          <c:showLegendKey val="0"/>
          <c:showVal val="1"/>
          <c:showCatName val="0"/>
          <c:showSerName val="0"/>
          <c:showPercent val="0"/>
          <c:showBubbleSize val="0"/>
        </c:dLbls>
        <c:gapWidth val="182"/>
        <c:axId val="1090749135"/>
        <c:axId val="1090734735"/>
      </c:barChart>
      <c:catAx>
        <c:axId val="109074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34735"/>
        <c:crosses val="autoZero"/>
        <c:auto val="1"/>
        <c:lblAlgn val="ctr"/>
        <c:lblOffset val="100"/>
        <c:noMultiLvlLbl val="0"/>
      </c:catAx>
      <c:valAx>
        <c:axId val="109073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4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 Salary Analysis(Project-1).xlsx]Payroll Analysis!PivotTable1</c:name>
    <c:fmtId val="54"/>
  </c:pivotSource>
  <c:chart>
    <c:autoTitleDeleted val="0"/>
    <c:pivotFmts>
      <c:pivotFmt>
        <c:idx val="0"/>
        <c:spPr>
          <a:solidFill>
            <a:schemeClr val="accent5"/>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8993106498284"/>
          <c:y val="0.25721788511806509"/>
          <c:w val="0.6408354089667363"/>
          <c:h val="0.65890128317293672"/>
        </c:manualLayout>
      </c:layout>
      <c:bar3DChart>
        <c:barDir val="col"/>
        <c:grouping val="clustered"/>
        <c:varyColors val="0"/>
        <c:ser>
          <c:idx val="0"/>
          <c:order val="0"/>
          <c:tx>
            <c:strRef>
              <c:f>'Payroll Analysis'!$C$16</c:f>
              <c:strCache>
                <c:ptCount val="1"/>
                <c:pt idx="0">
                  <c:v>Count of Emp_ID</c:v>
                </c:pt>
              </c:strCache>
            </c:strRef>
          </c:tx>
          <c:spPr>
            <a:solidFill>
              <a:schemeClr val="accent5">
                <a:shade val="76000"/>
              </a:schemeClr>
            </a:solidFill>
            <a:ln>
              <a:noFill/>
            </a:ln>
            <a:effectLst/>
            <a:sp3d/>
          </c:spPr>
          <c:invertIfNegative val="0"/>
          <c:dPt>
            <c:idx val="0"/>
            <c:invertIfNegative val="0"/>
            <c:bubble3D val="0"/>
            <c:extLst>
              <c:ext xmlns:c16="http://schemas.microsoft.com/office/drawing/2014/chart" uri="{C3380CC4-5D6E-409C-BE32-E72D297353CC}">
                <c16:uniqueId val="{00000000-2530-4326-BDC6-DC0D315945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'Payroll Analysis'!$B$17:$B$23</c:f>
              <c:strCache>
                <c:ptCount val="6"/>
                <c:pt idx="0">
                  <c:v>Finance</c:v>
                </c:pt>
                <c:pt idx="1">
                  <c:v>HR</c:v>
                </c:pt>
                <c:pt idx="2">
                  <c:v>IT</c:v>
                </c:pt>
                <c:pt idx="3">
                  <c:v>Marketing</c:v>
                </c:pt>
                <c:pt idx="4">
                  <c:v>Operations</c:v>
                </c:pt>
                <c:pt idx="5">
                  <c:v>Sales</c:v>
                </c:pt>
              </c:strCache>
            </c:strRef>
          </c:cat>
          <c:val>
            <c:numRef>
              <c:f>'Payroll Analysis'!$C$17:$C$23</c:f>
              <c:numCache>
                <c:formatCode>General</c:formatCode>
                <c:ptCount val="6"/>
                <c:pt idx="0">
                  <c:v>14</c:v>
                </c:pt>
                <c:pt idx="1">
                  <c:v>15</c:v>
                </c:pt>
                <c:pt idx="2">
                  <c:v>24</c:v>
                </c:pt>
                <c:pt idx="3">
                  <c:v>21</c:v>
                </c:pt>
                <c:pt idx="4">
                  <c:v>27</c:v>
                </c:pt>
                <c:pt idx="5">
                  <c:v>19</c:v>
                </c:pt>
              </c:numCache>
            </c:numRef>
          </c:val>
          <c:extLst>
            <c:ext xmlns:c16="http://schemas.microsoft.com/office/drawing/2014/chart" uri="{C3380CC4-5D6E-409C-BE32-E72D297353CC}">
              <c16:uniqueId val="{00000001-2530-4326-BDC6-DC0D31594530}"/>
            </c:ext>
          </c:extLst>
        </c:ser>
        <c:ser>
          <c:idx val="1"/>
          <c:order val="1"/>
          <c:tx>
            <c:strRef>
              <c:f>'Payroll Analysis'!$D$16</c:f>
              <c:strCache>
                <c:ptCount val="1"/>
                <c:pt idx="0">
                  <c:v>Sum of Net_Salary</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'Payroll Analysis'!$B$17:$B$23</c:f>
              <c:strCache>
                <c:ptCount val="6"/>
                <c:pt idx="0">
                  <c:v>Finance</c:v>
                </c:pt>
                <c:pt idx="1">
                  <c:v>HR</c:v>
                </c:pt>
                <c:pt idx="2">
                  <c:v>IT</c:v>
                </c:pt>
                <c:pt idx="3">
                  <c:v>Marketing</c:v>
                </c:pt>
                <c:pt idx="4">
                  <c:v>Operations</c:v>
                </c:pt>
                <c:pt idx="5">
                  <c:v>Sales</c:v>
                </c:pt>
              </c:strCache>
            </c:strRef>
          </c:cat>
          <c:val>
            <c:numRef>
              <c:f>'Payroll Analysis'!$D$17:$D$23</c:f>
              <c:numCache>
                <c:formatCode>General</c:formatCode>
                <c:ptCount val="6"/>
                <c:pt idx="0">
                  <c:v>789882</c:v>
                </c:pt>
                <c:pt idx="1">
                  <c:v>851332</c:v>
                </c:pt>
                <c:pt idx="2">
                  <c:v>1551563</c:v>
                </c:pt>
                <c:pt idx="3">
                  <c:v>1349430</c:v>
                </c:pt>
                <c:pt idx="4">
                  <c:v>1700115</c:v>
                </c:pt>
                <c:pt idx="5">
                  <c:v>1223554</c:v>
                </c:pt>
              </c:numCache>
            </c:numRef>
          </c:val>
          <c:extLst>
            <c:ext xmlns:c16="http://schemas.microsoft.com/office/drawing/2014/chart" uri="{C3380CC4-5D6E-409C-BE32-E72D297353CC}">
              <c16:uniqueId val="{00000002-2530-4326-BDC6-DC0D31594530}"/>
            </c:ext>
          </c:extLst>
        </c:ser>
        <c:dLbls>
          <c:showLegendKey val="0"/>
          <c:showVal val="1"/>
          <c:showCatName val="0"/>
          <c:showSerName val="0"/>
          <c:showPercent val="0"/>
          <c:showBubbleSize val="0"/>
        </c:dLbls>
        <c:gapWidth val="150"/>
        <c:shape val="box"/>
        <c:axId val="817767823"/>
        <c:axId val="817768303"/>
        <c:axId val="0"/>
      </c:bar3DChart>
      <c:catAx>
        <c:axId val="817767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68303"/>
        <c:crosses val="autoZero"/>
        <c:auto val="1"/>
        <c:lblAlgn val="ctr"/>
        <c:lblOffset val="100"/>
        <c:noMultiLvlLbl val="0"/>
      </c:catAx>
      <c:valAx>
        <c:axId val="81776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6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Salary Analysis(Project-1).xlsx]Payroll Analysis!PivotTable1</c:name>
    <c:fmtId val="57"/>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'Payroll Analysis'!$C$16</c:f>
              <c:strCache>
                <c:ptCount val="1"/>
                <c:pt idx="0">
                  <c:v>Count of Emp_ID</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'Payroll Analysis'!$B$17:$B$23</c:f>
              <c:strCache>
                <c:ptCount val="6"/>
                <c:pt idx="0">
                  <c:v>Finance</c:v>
                </c:pt>
                <c:pt idx="1">
                  <c:v>HR</c:v>
                </c:pt>
                <c:pt idx="2">
                  <c:v>IT</c:v>
                </c:pt>
                <c:pt idx="3">
                  <c:v>Marketing</c:v>
                </c:pt>
                <c:pt idx="4">
                  <c:v>Operations</c:v>
                </c:pt>
                <c:pt idx="5">
                  <c:v>Sales</c:v>
                </c:pt>
              </c:strCache>
            </c:strRef>
          </c:cat>
          <c:val>
            <c:numRef>
              <c:f>'Payroll Analysis'!$C$17:$C$23</c:f>
              <c:numCache>
                <c:formatCode>General</c:formatCode>
                <c:ptCount val="6"/>
                <c:pt idx="0">
                  <c:v>14</c:v>
                </c:pt>
                <c:pt idx="1">
                  <c:v>15</c:v>
                </c:pt>
                <c:pt idx="2">
                  <c:v>24</c:v>
                </c:pt>
                <c:pt idx="3">
                  <c:v>21</c:v>
                </c:pt>
                <c:pt idx="4">
                  <c:v>27</c:v>
                </c:pt>
                <c:pt idx="5">
                  <c:v>19</c:v>
                </c:pt>
              </c:numCache>
            </c:numRef>
          </c:val>
          <c:extLst>
            <c:ext xmlns:c16="http://schemas.microsoft.com/office/drawing/2014/chart" uri="{C3380CC4-5D6E-409C-BE32-E72D297353CC}">
              <c16:uniqueId val="{00000000-0F7E-4A58-A412-D53932AE2B2D}"/>
            </c:ext>
          </c:extLst>
        </c:ser>
        <c:ser>
          <c:idx val="1"/>
          <c:order val="1"/>
          <c:tx>
            <c:strRef>
              <c:f>'Payroll Analysis'!$D$16</c:f>
              <c:strCache>
                <c:ptCount val="1"/>
                <c:pt idx="0">
                  <c:v>Sum of Net_Salary</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'Payroll Analysis'!$B$17:$B$23</c:f>
              <c:strCache>
                <c:ptCount val="6"/>
                <c:pt idx="0">
                  <c:v>Finance</c:v>
                </c:pt>
                <c:pt idx="1">
                  <c:v>HR</c:v>
                </c:pt>
                <c:pt idx="2">
                  <c:v>IT</c:v>
                </c:pt>
                <c:pt idx="3">
                  <c:v>Marketing</c:v>
                </c:pt>
                <c:pt idx="4">
                  <c:v>Operations</c:v>
                </c:pt>
                <c:pt idx="5">
                  <c:v>Sales</c:v>
                </c:pt>
              </c:strCache>
            </c:strRef>
          </c:cat>
          <c:val>
            <c:numRef>
              <c:f>'Payroll Analysis'!$D$17:$D$23</c:f>
              <c:numCache>
                <c:formatCode>General</c:formatCode>
                <c:ptCount val="6"/>
                <c:pt idx="0">
                  <c:v>789882</c:v>
                </c:pt>
                <c:pt idx="1">
                  <c:v>851332</c:v>
                </c:pt>
                <c:pt idx="2">
                  <c:v>1551563</c:v>
                </c:pt>
                <c:pt idx="3">
                  <c:v>1349430</c:v>
                </c:pt>
                <c:pt idx="4">
                  <c:v>1700115</c:v>
                </c:pt>
                <c:pt idx="5">
                  <c:v>1223554</c:v>
                </c:pt>
              </c:numCache>
            </c:numRef>
          </c:val>
          <c:extLst>
            <c:ext xmlns:c16="http://schemas.microsoft.com/office/drawing/2014/chart" uri="{C3380CC4-5D6E-409C-BE32-E72D297353CC}">
              <c16:uniqueId val="{00000001-0F7E-4A58-A412-D53932AE2B2D}"/>
            </c:ext>
          </c:extLst>
        </c:ser>
        <c:dLbls>
          <c:dLblPos val="outEnd"/>
          <c:showLegendKey val="0"/>
          <c:showVal val="1"/>
          <c:showCatName val="0"/>
          <c:showSerName val="0"/>
          <c:showPercent val="0"/>
          <c:showBubbleSize val="0"/>
        </c:dLbls>
        <c:gapWidth val="182"/>
        <c:axId val="842338415"/>
        <c:axId val="842340335"/>
      </c:barChart>
      <c:catAx>
        <c:axId val="8423384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40335"/>
        <c:crosses val="autoZero"/>
        <c:auto val="1"/>
        <c:lblAlgn val="ctr"/>
        <c:lblOffset val="100"/>
        <c:noMultiLvlLbl val="0"/>
      </c:catAx>
      <c:valAx>
        <c:axId val="84234033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3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Analysis(Project-1).xlsx]Performance Analysis!PivotTable2</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Analysis'!$C$4</c:f>
              <c:strCache>
                <c:ptCount val="1"/>
                <c:pt idx="0">
                  <c:v>Average of Performance_Rating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Analysis'!$B$5:$B$11</c:f>
              <c:strCache>
                <c:ptCount val="6"/>
                <c:pt idx="0">
                  <c:v>Finance</c:v>
                </c:pt>
                <c:pt idx="1">
                  <c:v>HR</c:v>
                </c:pt>
                <c:pt idx="2">
                  <c:v>IT</c:v>
                </c:pt>
                <c:pt idx="3">
                  <c:v>Marketing</c:v>
                </c:pt>
                <c:pt idx="4">
                  <c:v>Operations</c:v>
                </c:pt>
                <c:pt idx="5">
                  <c:v>Sales</c:v>
                </c:pt>
              </c:strCache>
            </c:strRef>
          </c:cat>
          <c:val>
            <c:numRef>
              <c:f>'Performance Analysis'!$C$5:$C$11</c:f>
              <c:numCache>
                <c:formatCode>General</c:formatCode>
                <c:ptCount val="6"/>
                <c:pt idx="0">
                  <c:v>3.7142857142857144</c:v>
                </c:pt>
                <c:pt idx="1">
                  <c:v>3.6</c:v>
                </c:pt>
                <c:pt idx="2">
                  <c:v>3.375</c:v>
                </c:pt>
                <c:pt idx="3">
                  <c:v>3.6190476190476191</c:v>
                </c:pt>
                <c:pt idx="4">
                  <c:v>3.5185185185185186</c:v>
                </c:pt>
                <c:pt idx="5">
                  <c:v>3.4210526315789473</c:v>
                </c:pt>
              </c:numCache>
            </c:numRef>
          </c:val>
          <c:extLst>
            <c:ext xmlns:c16="http://schemas.microsoft.com/office/drawing/2014/chart" uri="{C3380CC4-5D6E-409C-BE32-E72D297353CC}">
              <c16:uniqueId val="{00000000-9727-46F8-B37F-259FAB9CF031}"/>
            </c:ext>
          </c:extLst>
        </c:ser>
        <c:ser>
          <c:idx val="1"/>
          <c:order val="1"/>
          <c:tx>
            <c:strRef>
              <c:f>'Performance Analysis'!$D$4</c:f>
              <c:strCache>
                <c:ptCount val="1"/>
                <c:pt idx="0">
                  <c:v>Sum of Projects_Handled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Analysis'!$B$5:$B$11</c:f>
              <c:strCache>
                <c:ptCount val="6"/>
                <c:pt idx="0">
                  <c:v>Finance</c:v>
                </c:pt>
                <c:pt idx="1">
                  <c:v>HR</c:v>
                </c:pt>
                <c:pt idx="2">
                  <c:v>IT</c:v>
                </c:pt>
                <c:pt idx="3">
                  <c:v>Marketing</c:v>
                </c:pt>
                <c:pt idx="4">
                  <c:v>Operations</c:v>
                </c:pt>
                <c:pt idx="5">
                  <c:v>Sales</c:v>
                </c:pt>
              </c:strCache>
            </c:strRef>
          </c:cat>
          <c:val>
            <c:numRef>
              <c:f>'Performance Analysis'!$D$5:$D$11</c:f>
              <c:numCache>
                <c:formatCode>General</c:formatCode>
                <c:ptCount val="6"/>
                <c:pt idx="0">
                  <c:v>74</c:v>
                </c:pt>
                <c:pt idx="1">
                  <c:v>79</c:v>
                </c:pt>
                <c:pt idx="2">
                  <c:v>143</c:v>
                </c:pt>
                <c:pt idx="3">
                  <c:v>125</c:v>
                </c:pt>
                <c:pt idx="4">
                  <c:v>143</c:v>
                </c:pt>
                <c:pt idx="5">
                  <c:v>110</c:v>
                </c:pt>
              </c:numCache>
            </c:numRef>
          </c:val>
          <c:extLst>
            <c:ext xmlns:c16="http://schemas.microsoft.com/office/drawing/2014/chart" uri="{C3380CC4-5D6E-409C-BE32-E72D297353CC}">
              <c16:uniqueId val="{00000001-9727-46F8-B37F-259FAB9CF031}"/>
            </c:ext>
          </c:extLst>
        </c:ser>
        <c:dLbls>
          <c:dLblPos val="outEnd"/>
          <c:showLegendKey val="0"/>
          <c:showVal val="1"/>
          <c:showCatName val="0"/>
          <c:showSerName val="0"/>
          <c:showPercent val="0"/>
          <c:showBubbleSize val="0"/>
        </c:dLbls>
        <c:gapWidth val="182"/>
        <c:axId val="890721055"/>
        <c:axId val="890732575"/>
      </c:barChart>
      <c:catAx>
        <c:axId val="8907210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32575"/>
        <c:crosses val="autoZero"/>
        <c:auto val="1"/>
        <c:lblAlgn val="ctr"/>
        <c:lblOffset val="100"/>
        <c:noMultiLvlLbl val="0"/>
      </c:catAx>
      <c:valAx>
        <c:axId val="89073257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2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 Salary Analysis(Project-1).xlsx]Salary&amp;Experiences Analysis!PivotTable3</c:name>
    <c:fmtId val="22"/>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'Salary&amp;Experiences Analysis'!$C$4</c:f>
              <c:strCache>
                <c:ptCount val="1"/>
                <c:pt idx="0">
                  <c:v>Average of Net_Salary</c:v>
                </c:pt>
              </c:strCache>
            </c:strRef>
          </c:tx>
          <c:spPr>
            <a:solidFill>
              <a:schemeClr val="accent3">
                <a:tint val="77000"/>
              </a:schemeClr>
            </a:solidFill>
            <a:ln>
              <a:noFill/>
            </a:ln>
            <a:effectLst/>
          </c:spPr>
          <c:invertIfNegative val="0"/>
          <c:cat>
            <c:strRef>
              <c:f>'Salary&amp;Experiences Analysis'!$B$5:$B$8</c:f>
              <c:strCache>
                <c:ptCount val="3"/>
                <c:pt idx="0">
                  <c:v>junior</c:v>
                </c:pt>
                <c:pt idx="1">
                  <c:v>mid-level,</c:v>
                </c:pt>
                <c:pt idx="2">
                  <c:v>senior</c:v>
                </c:pt>
              </c:strCache>
            </c:strRef>
          </c:cat>
          <c:val>
            <c:numRef>
              <c:f>'Salary&amp;Experiences Analysis'!$C$5:$C$8</c:f>
              <c:numCache>
                <c:formatCode>General</c:formatCode>
                <c:ptCount val="3"/>
                <c:pt idx="0">
                  <c:v>62370.05</c:v>
                </c:pt>
                <c:pt idx="1">
                  <c:v>62725.431372549021</c:v>
                </c:pt>
                <c:pt idx="2">
                  <c:v>61622</c:v>
                </c:pt>
              </c:numCache>
            </c:numRef>
          </c:val>
          <c:extLst>
            <c:ext xmlns:c16="http://schemas.microsoft.com/office/drawing/2014/chart" uri="{C3380CC4-5D6E-409C-BE32-E72D297353CC}">
              <c16:uniqueId val="{00000000-1A11-454E-8F1E-169F3644CE91}"/>
            </c:ext>
          </c:extLst>
        </c:ser>
        <c:ser>
          <c:idx val="1"/>
          <c:order val="1"/>
          <c:tx>
            <c:strRef>
              <c:f>'Salary&amp;Experiences Analysis'!$D$4</c:f>
              <c:strCache>
                <c:ptCount val="1"/>
                <c:pt idx="0">
                  <c:v>Count of Emp_ID</c:v>
                </c:pt>
              </c:strCache>
            </c:strRef>
          </c:tx>
          <c:spPr>
            <a:solidFill>
              <a:schemeClr val="accent3">
                <a:shade val="76000"/>
              </a:schemeClr>
            </a:solidFill>
            <a:ln>
              <a:noFill/>
            </a:ln>
            <a:effectLst/>
          </c:spPr>
          <c:invertIfNegative val="0"/>
          <c:cat>
            <c:strRef>
              <c:f>'Salary&amp;Experiences Analysis'!$B$5:$B$8</c:f>
              <c:strCache>
                <c:ptCount val="3"/>
                <c:pt idx="0">
                  <c:v>junior</c:v>
                </c:pt>
                <c:pt idx="1">
                  <c:v>mid-level,</c:v>
                </c:pt>
                <c:pt idx="2">
                  <c:v>senior</c:v>
                </c:pt>
              </c:strCache>
            </c:strRef>
          </c:cat>
          <c:val>
            <c:numRef>
              <c:f>'Salary&amp;Experiences Analysis'!$D$5:$D$8</c:f>
              <c:numCache>
                <c:formatCode>General</c:formatCode>
                <c:ptCount val="3"/>
                <c:pt idx="0">
                  <c:v>20</c:v>
                </c:pt>
                <c:pt idx="1">
                  <c:v>51</c:v>
                </c:pt>
                <c:pt idx="2">
                  <c:v>49</c:v>
                </c:pt>
              </c:numCache>
            </c:numRef>
          </c:val>
          <c:extLst>
            <c:ext xmlns:c16="http://schemas.microsoft.com/office/drawing/2014/chart" uri="{C3380CC4-5D6E-409C-BE32-E72D297353CC}">
              <c16:uniqueId val="{00000001-1A11-454E-8F1E-169F3644CE91}"/>
            </c:ext>
          </c:extLst>
        </c:ser>
        <c:dLbls>
          <c:showLegendKey val="0"/>
          <c:showVal val="0"/>
          <c:showCatName val="0"/>
          <c:showSerName val="0"/>
          <c:showPercent val="0"/>
          <c:showBubbleSize val="0"/>
        </c:dLbls>
        <c:gapWidth val="219"/>
        <c:axId val="852528911"/>
        <c:axId val="852529871"/>
      </c:barChart>
      <c:catAx>
        <c:axId val="85252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529871"/>
        <c:crosses val="autoZero"/>
        <c:auto val="1"/>
        <c:lblAlgn val="ctr"/>
        <c:lblOffset val="100"/>
        <c:noMultiLvlLbl val="0"/>
      </c:catAx>
      <c:valAx>
        <c:axId val="85252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52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Salary Analysis(Project-1).xlsx]Department&amp;Location Analysis!PivotTable2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'Department&amp;Location Analysis'!$C$8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'Department&amp;Location Analysis'!$B$9:$B$15</c:f>
              <c:strCache>
                <c:ptCount val="6"/>
                <c:pt idx="0">
                  <c:v>Finance</c:v>
                </c:pt>
                <c:pt idx="1">
                  <c:v>HR</c:v>
                </c:pt>
                <c:pt idx="2">
                  <c:v>IT</c:v>
                </c:pt>
                <c:pt idx="3">
                  <c:v>Marketing</c:v>
                </c:pt>
                <c:pt idx="4">
                  <c:v>Operations</c:v>
                </c:pt>
                <c:pt idx="5">
                  <c:v>Sales</c:v>
                </c:pt>
              </c:strCache>
            </c:strRef>
          </c:cat>
          <c:val>
            <c:numRef>
              <c:f>'Department&amp;Location Analysis'!$C$9:$C$15</c:f>
              <c:numCache>
                <c:formatCode>General</c:formatCode>
                <c:ptCount val="6"/>
                <c:pt idx="0">
                  <c:v>14</c:v>
                </c:pt>
                <c:pt idx="1">
                  <c:v>15</c:v>
                </c:pt>
                <c:pt idx="2">
                  <c:v>24</c:v>
                </c:pt>
                <c:pt idx="3">
                  <c:v>21</c:v>
                </c:pt>
                <c:pt idx="4">
                  <c:v>27</c:v>
                </c:pt>
                <c:pt idx="5">
                  <c:v>19</c:v>
                </c:pt>
              </c:numCache>
            </c:numRef>
          </c:val>
          <c:extLst>
            <c:ext xmlns:c16="http://schemas.microsoft.com/office/drawing/2014/chart" uri="{C3380CC4-5D6E-409C-BE32-E72D297353CC}">
              <c16:uniqueId val="{00000000-2976-4763-895D-B145BFEA0383}"/>
            </c:ext>
          </c:extLst>
        </c:ser>
        <c:dLbls>
          <c:dLblPos val="outEnd"/>
          <c:showLegendKey val="0"/>
          <c:showVal val="1"/>
          <c:showCatName val="0"/>
          <c:showSerName val="0"/>
          <c:showPercent val="0"/>
          <c:showBubbleSize val="0"/>
        </c:dLbls>
        <c:gapWidth val="219"/>
        <c:overlap val="-27"/>
        <c:axId val="1247942239"/>
        <c:axId val="1247943679"/>
      </c:barChart>
      <c:catAx>
        <c:axId val="124794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943679"/>
        <c:crosses val="autoZero"/>
        <c:auto val="1"/>
        <c:lblAlgn val="ctr"/>
        <c:lblOffset val="100"/>
        <c:noMultiLvlLbl val="0"/>
      </c:catAx>
      <c:valAx>
        <c:axId val="124794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94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Salary Analysis(Project-1).xlsx]Department&amp;Location Analysis!PivotTable4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'Department&amp;Location Analysis'!$C$26</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'Department&amp;Location Analysis'!$B$27:$B$33</c:f>
              <c:strCache>
                <c:ptCount val="6"/>
                <c:pt idx="0">
                  <c:v>Finance</c:v>
                </c:pt>
                <c:pt idx="1">
                  <c:v>HR</c:v>
                </c:pt>
                <c:pt idx="2">
                  <c:v>IT</c:v>
                </c:pt>
                <c:pt idx="3">
                  <c:v>Marketing</c:v>
                </c:pt>
                <c:pt idx="4">
                  <c:v>Operations</c:v>
                </c:pt>
                <c:pt idx="5">
                  <c:v>Sales</c:v>
                </c:pt>
              </c:strCache>
            </c:strRef>
          </c:cat>
          <c:val>
            <c:numRef>
              <c:f>'Department&amp;Location Analysis'!$C$27:$C$33</c:f>
              <c:numCache>
                <c:formatCode>General</c:formatCode>
                <c:ptCount val="6"/>
                <c:pt idx="0">
                  <c:v>789882</c:v>
                </c:pt>
                <c:pt idx="1">
                  <c:v>851332</c:v>
                </c:pt>
                <c:pt idx="2">
                  <c:v>1551563</c:v>
                </c:pt>
                <c:pt idx="3">
                  <c:v>1349430</c:v>
                </c:pt>
                <c:pt idx="4">
                  <c:v>1700115</c:v>
                </c:pt>
                <c:pt idx="5">
                  <c:v>1223554</c:v>
                </c:pt>
              </c:numCache>
            </c:numRef>
          </c:val>
          <c:extLst>
            <c:ext xmlns:c16="http://schemas.microsoft.com/office/drawing/2014/chart" uri="{C3380CC4-5D6E-409C-BE32-E72D297353CC}">
              <c16:uniqueId val="{00000000-F27C-4980-9907-D95737A2CF6F}"/>
            </c:ext>
          </c:extLst>
        </c:ser>
        <c:dLbls>
          <c:dLblPos val="inEnd"/>
          <c:showLegendKey val="0"/>
          <c:showVal val="1"/>
          <c:showCatName val="0"/>
          <c:showSerName val="0"/>
          <c:showPercent val="0"/>
          <c:showBubbleSize val="0"/>
        </c:dLbls>
        <c:gapWidth val="182"/>
        <c:axId val="1234872319"/>
        <c:axId val="1234876639"/>
      </c:barChart>
      <c:catAx>
        <c:axId val="1234872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76639"/>
        <c:crosses val="autoZero"/>
        <c:auto val="1"/>
        <c:lblAlgn val="ctr"/>
        <c:lblOffset val="100"/>
        <c:noMultiLvlLbl val="0"/>
      </c:catAx>
      <c:valAx>
        <c:axId val="123487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7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Analysis(Project-1).xlsx]Department&amp;Location Analysis!PivotTable5</c:name>
    <c:fmtId val="4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'Department&amp;Location Analysis'!$C$46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F8-4EBE-A4B7-4456F54882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F8-4EBE-A4B7-4456F54882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F8-4EBE-A4B7-4456F54882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F8-4EBE-A4B7-4456F54882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F8-4EBE-A4B7-4456F54882B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FF8-4EBE-A4B7-4456F54882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'Department&amp;Location Analysis'!$B$47:$B$53</c:f>
              <c:strCache>
                <c:ptCount val="6"/>
                <c:pt idx="0">
                  <c:v>Bangalore</c:v>
                </c:pt>
                <c:pt idx="1">
                  <c:v>Chennai</c:v>
                </c:pt>
                <c:pt idx="2">
                  <c:v>Delhi</c:v>
                </c:pt>
                <c:pt idx="3">
                  <c:v>Hyderabad</c:v>
                </c:pt>
                <c:pt idx="4">
                  <c:v>Mumbai</c:v>
                </c:pt>
                <c:pt idx="5">
                  <c:v>Pune</c:v>
                </c:pt>
              </c:strCache>
            </c:strRef>
          </c:cat>
          <c:val>
            <c:numRef>
              <c:f>'Department&amp;Location Analysis'!$C$47:$C$53</c:f>
              <c:numCache>
                <c:formatCode>"₹"\ #,##0.00</c:formatCode>
                <c:ptCount val="6"/>
                <c:pt idx="0">
                  <c:v>1413745</c:v>
                </c:pt>
                <c:pt idx="1">
                  <c:v>843394</c:v>
                </c:pt>
                <c:pt idx="2">
                  <c:v>1294221</c:v>
                </c:pt>
                <c:pt idx="3">
                  <c:v>806153</c:v>
                </c:pt>
                <c:pt idx="4">
                  <c:v>1474038</c:v>
                </c:pt>
                <c:pt idx="5">
                  <c:v>1634325</c:v>
                </c:pt>
              </c:numCache>
            </c:numRef>
          </c:val>
          <c:extLst>
            <c:ext xmlns:c16="http://schemas.microsoft.com/office/drawing/2014/chart" uri="{C3380CC4-5D6E-409C-BE32-E72D297353CC}">
              <c16:uniqueId val="{0000000C-FFF8-4EBE-A4B7-4456F54882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 Salary Analysis(Project-1).xlsx]Department&amp;Location Analysis!PivotTable6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'Department&amp;Location Analysis'!$S$44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'Department&amp;Location Analysis'!$R$45:$R$51</c:f>
              <c:strCache>
                <c:ptCount val="6"/>
                <c:pt idx="0">
                  <c:v>Bangalore</c:v>
                </c:pt>
                <c:pt idx="1">
                  <c:v>Chennai</c:v>
                </c:pt>
                <c:pt idx="2">
                  <c:v>Delhi</c:v>
                </c:pt>
                <c:pt idx="3">
                  <c:v>Hyderabad</c:v>
                </c:pt>
                <c:pt idx="4">
                  <c:v>Mumbai</c:v>
                </c:pt>
                <c:pt idx="5">
                  <c:v>Pune</c:v>
                </c:pt>
              </c:strCache>
            </c:strRef>
          </c:cat>
          <c:val>
            <c:numRef>
              <c:f>'Department&amp;Location Analysis'!$S$45:$S$51</c:f>
              <c:numCache>
                <c:formatCode>"₹"\ #,##0</c:formatCode>
                <c:ptCount val="6"/>
                <c:pt idx="0">
                  <c:v>1413745</c:v>
                </c:pt>
                <c:pt idx="1">
                  <c:v>843394</c:v>
                </c:pt>
                <c:pt idx="2">
                  <c:v>1294221</c:v>
                </c:pt>
                <c:pt idx="3">
                  <c:v>806153</c:v>
                </c:pt>
                <c:pt idx="4">
                  <c:v>1474038</c:v>
                </c:pt>
                <c:pt idx="5">
                  <c:v>1634325</c:v>
                </c:pt>
              </c:numCache>
            </c:numRef>
          </c:val>
          <c:extLst>
            <c:ext xmlns:c16="http://schemas.microsoft.com/office/drawing/2014/chart" uri="{C3380CC4-5D6E-409C-BE32-E72D297353CC}">
              <c16:uniqueId val="{00000000-3373-403B-9F14-9F697EA37A96}"/>
            </c:ext>
          </c:extLst>
        </c:ser>
        <c:dLbls>
          <c:showLegendKey val="0"/>
          <c:showVal val="0"/>
          <c:showCatName val="0"/>
          <c:showSerName val="0"/>
          <c:showPercent val="0"/>
          <c:showBubbleSize val="0"/>
        </c:dLbls>
        <c:gapWidth val="219"/>
        <c:overlap val="-27"/>
        <c:axId val="1207722095"/>
        <c:axId val="1207725935"/>
      </c:barChart>
      <c:catAx>
        <c:axId val="120772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25935"/>
        <c:crosses val="autoZero"/>
        <c:auto val="1"/>
        <c:lblAlgn val="ctr"/>
        <c:lblOffset val="100"/>
        <c:noMultiLvlLbl val="0"/>
      </c:catAx>
      <c:valAx>
        <c:axId val="12077259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2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Analysis(Project-1).xlsx]Employee Demographics!PivotTable4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'Employee Demographics'!$C$4</c:f>
              <c:strCache>
                <c:ptCount val="1"/>
                <c:pt idx="0">
                  <c:v>Count of Emp_ID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C0-4F05-BA1D-5579BD055A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C0-4F05-BA1D-5579BD055A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Demographics'!$B$5:$B$7</c:f>
              <c:strCache>
                <c:ptCount val="2"/>
                <c:pt idx="0">
                  <c:v>Female</c:v>
                </c:pt>
                <c:pt idx="1">
                  <c:v>Male</c:v>
                </c:pt>
              </c:strCache>
            </c:strRef>
          </c:cat>
          <c:val>
            <c:numRef>
              <c:f>'Employee Demographics'!$C$5:$C$7</c:f>
              <c:numCache>
                <c:formatCode>General</c:formatCode>
                <c:ptCount val="2"/>
                <c:pt idx="0">
                  <c:v>60</c:v>
                </c:pt>
                <c:pt idx="1">
                  <c:v>60</c:v>
                </c:pt>
              </c:numCache>
            </c:numRef>
          </c:val>
          <c:extLst>
            <c:ext xmlns:c16="http://schemas.microsoft.com/office/drawing/2014/chart" uri="{C3380CC4-5D6E-409C-BE32-E72D297353CC}">
              <c16:uniqueId val="{00000004-BBC0-4F05-BA1D-5579BD055A68}"/>
            </c:ext>
          </c:extLst>
        </c:ser>
        <c:ser>
          <c:idx val="1"/>
          <c:order val="1"/>
          <c:tx>
            <c:strRef>
              <c:f>'Employee Demographics'!$D$4</c:f>
              <c:strCache>
                <c:ptCount val="1"/>
                <c:pt idx="0">
                  <c:v>Average of Net_Salary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BC0-4F05-BA1D-5579BD055A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BC0-4F05-BA1D-5579BD055A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Demographics'!$B$5:$B$7</c:f>
              <c:strCache>
                <c:ptCount val="2"/>
                <c:pt idx="0">
                  <c:v>Female</c:v>
                </c:pt>
                <c:pt idx="1">
                  <c:v>Male</c:v>
                </c:pt>
              </c:strCache>
            </c:strRef>
          </c:cat>
          <c:val>
            <c:numRef>
              <c:f>'Employee Demographics'!$D$5:$D$7</c:f>
              <c:numCache>
                <c:formatCode>General</c:formatCode>
                <c:ptCount val="2"/>
                <c:pt idx="0">
                  <c:v>62954.416666666664</c:v>
                </c:pt>
                <c:pt idx="1">
                  <c:v>61476.85</c:v>
                </c:pt>
              </c:numCache>
            </c:numRef>
          </c:val>
          <c:extLst>
            <c:ext xmlns:c16="http://schemas.microsoft.com/office/drawing/2014/chart" uri="{C3380CC4-5D6E-409C-BE32-E72D297353CC}">
              <c16:uniqueId val="{00000009-BBC0-4F05-BA1D-5579BD055A6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Salary Analysis(Project-1).xlsx]Employee Demographics!PivotTable1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Demographics'!$C$31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Demographics'!$B$32:$B$37</c:f>
              <c:strCache>
                <c:ptCount val="5"/>
                <c:pt idx="0">
                  <c:v>B.Com</c:v>
                </c:pt>
                <c:pt idx="1">
                  <c:v>B.Sc</c:v>
                </c:pt>
                <c:pt idx="2">
                  <c:v>B.Tech</c:v>
                </c:pt>
                <c:pt idx="3">
                  <c:v>M.Sc</c:v>
                </c:pt>
                <c:pt idx="4">
                  <c:v>MBA</c:v>
                </c:pt>
              </c:strCache>
            </c:strRef>
          </c:cat>
          <c:val>
            <c:numRef>
              <c:f>'Employee Demographics'!$C$32:$C$37</c:f>
              <c:numCache>
                <c:formatCode>General</c:formatCode>
                <c:ptCount val="5"/>
                <c:pt idx="0">
                  <c:v>22</c:v>
                </c:pt>
                <c:pt idx="1">
                  <c:v>22</c:v>
                </c:pt>
                <c:pt idx="2">
                  <c:v>20</c:v>
                </c:pt>
                <c:pt idx="3">
                  <c:v>31</c:v>
                </c:pt>
                <c:pt idx="4">
                  <c:v>25</c:v>
                </c:pt>
              </c:numCache>
            </c:numRef>
          </c:val>
          <c:extLst>
            <c:ext xmlns:c16="http://schemas.microsoft.com/office/drawing/2014/chart" uri="{C3380CC4-5D6E-409C-BE32-E72D297353CC}">
              <c16:uniqueId val="{00000000-ED91-420A-89BC-71F52090B0C4}"/>
            </c:ext>
          </c:extLst>
        </c:ser>
        <c:dLbls>
          <c:dLblPos val="outEnd"/>
          <c:showLegendKey val="0"/>
          <c:showVal val="1"/>
          <c:showCatName val="0"/>
          <c:showSerName val="0"/>
          <c:showPercent val="0"/>
          <c:showBubbleSize val="0"/>
        </c:dLbls>
        <c:gapWidth val="182"/>
        <c:axId val="1090749135"/>
        <c:axId val="1090734735"/>
      </c:barChart>
      <c:catAx>
        <c:axId val="109074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34735"/>
        <c:crosses val="autoZero"/>
        <c:auto val="1"/>
        <c:lblAlgn val="ctr"/>
        <c:lblOffset val="100"/>
        <c:noMultiLvlLbl val="0"/>
      </c:catAx>
      <c:valAx>
        <c:axId val="109073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4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3">
  <a:schemeClr val="accent3"/>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9">
  <a:schemeClr val="accent6"/>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xdr:col>
      <xdr:colOff>480060</xdr:colOff>
      <xdr:row>16</xdr:row>
      <xdr:rowOff>7620</xdr:rowOff>
    </xdr:from>
    <xdr:to>
      <xdr:col>4</xdr:col>
      <xdr:colOff>838200</xdr:colOff>
      <xdr:row>31</xdr:row>
      <xdr:rowOff>7620</xdr:rowOff>
    </xdr:to>
    <xdr:graphicFrame macro="">
      <xdr:nvGraphicFramePr>
        <xdr:cNvPr id="5" name="Chart 4">
          <a:extLst>
            <a:ext uri="{FF2B5EF4-FFF2-40B4-BE49-F238E27FC236}">
              <a16:creationId xmlns:a16="http://schemas.microsoft.com/office/drawing/2014/main" id="{3391A8CB-3C90-9F90-6180-9579654FB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167640</xdr:colOff>
      <xdr:row>16</xdr:row>
      <xdr:rowOff>53341</xdr:rowOff>
    </xdr:from>
    <xdr:to>
      <xdr:col>11</xdr:col>
      <xdr:colOff>480058</xdr:colOff>
      <xdr:row>27</xdr:row>
      <xdr:rowOff>76201</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1192FBFA-8417-A2CF-4995-CEF607303AA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858559" y="3101341"/>
              <a:ext cx="2135041" cy="2061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587359</xdr:colOff>
      <xdr:row>3</xdr:row>
      <xdr:rowOff>14830</xdr:rowOff>
    </xdr:from>
    <xdr:to>
      <xdr:col>8</xdr:col>
      <xdr:colOff>588801</xdr:colOff>
      <xdr:row>9</xdr:row>
      <xdr:rowOff>60550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6E64BF4E-1B68-7F33-CD97-C68160264B0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455656" y="612073"/>
              <a:ext cx="1824064" cy="1157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1447800</xdr:colOff>
      <xdr:row>16</xdr:row>
      <xdr:rowOff>53341</xdr:rowOff>
    </xdr:from>
    <xdr:to>
      <xdr:col>7</xdr:col>
      <xdr:colOff>541019</xdr:colOff>
      <xdr:row>25</xdr:row>
      <xdr:rowOff>137161</xdr:rowOff>
    </xdr:to>
    <mc:AlternateContent xmlns:mc="http://schemas.openxmlformats.org/markup-compatibility/2006" xmlns:a14="http://schemas.microsoft.com/office/drawing/2010/main">
      <mc:Choice Requires="a14">
        <xdr:graphicFrame macro="">
          <xdr:nvGraphicFramePr>
            <xdr:cNvPr id="4" name="Performance_Rating">
              <a:extLst>
                <a:ext uri="{FF2B5EF4-FFF2-40B4-BE49-F238E27FC236}">
                  <a16:creationId xmlns:a16="http://schemas.microsoft.com/office/drawing/2014/main" id="{CB7A34BB-4094-F479-D8AA-17EF10AB6923}"/>
                </a:ext>
              </a:extLst>
            </xdr:cNvPr>
            <xdr:cNvGraphicFramePr/>
          </xdr:nvGraphicFramePr>
          <xdr:xfrm>
            <a:off x="0" y="0"/>
            <a:ext cx="0" cy="0"/>
          </xdr:xfrm>
          <a:graphic>
            <a:graphicData uri="http://schemas.microsoft.com/office/drawing/2010/slicer">
              <sle:slicer xmlns:sle="http://schemas.microsoft.com/office/drawing/2010/slicer" name="Performance_Rating"/>
            </a:graphicData>
          </a:graphic>
        </xdr:graphicFrame>
      </mc:Choice>
      <mc:Fallback xmlns="">
        <xdr:sp macro="" textlink="">
          <xdr:nvSpPr>
            <xdr:cNvPr id="0" name=""/>
            <xdr:cNvSpPr>
              <a:spLocks noTextEdit="1"/>
            </xdr:cNvSpPr>
          </xdr:nvSpPr>
          <xdr:spPr>
            <a:xfrm>
              <a:off x="6802395" y="3101341"/>
              <a:ext cx="1822004" cy="1751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2</xdr:row>
      <xdr:rowOff>175260</xdr:rowOff>
    </xdr:from>
    <xdr:to>
      <xdr:col>12</xdr:col>
      <xdr:colOff>320040</xdr:colOff>
      <xdr:row>17</xdr:row>
      <xdr:rowOff>175260</xdr:rowOff>
    </xdr:to>
    <xdr:graphicFrame macro="">
      <xdr:nvGraphicFramePr>
        <xdr:cNvPr id="2" name="Chart 1">
          <a:extLst>
            <a:ext uri="{FF2B5EF4-FFF2-40B4-BE49-F238E27FC236}">
              <a16:creationId xmlns:a16="http://schemas.microsoft.com/office/drawing/2014/main" id="{10FEE2B6-10CC-5323-B9D1-C95306762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510540</xdr:colOff>
      <xdr:row>10</xdr:row>
      <xdr:rowOff>38101</xdr:rowOff>
    </xdr:from>
    <xdr:to>
      <xdr:col>4</xdr:col>
      <xdr:colOff>38100</xdr:colOff>
      <xdr:row>17</xdr:row>
      <xdr:rowOff>7621</xdr:rowOff>
    </xdr:to>
    <mc:AlternateContent xmlns:mc="http://schemas.openxmlformats.org/markup-compatibility/2006" xmlns:a14="http://schemas.microsoft.com/office/drawing/2010/main">
      <mc:Choice Requires="a14">
        <xdr:graphicFrame macro="">
          <xdr:nvGraphicFramePr>
            <xdr:cNvPr id="3" name="Salary_Band">
              <a:extLst>
                <a:ext uri="{FF2B5EF4-FFF2-40B4-BE49-F238E27FC236}">
                  <a16:creationId xmlns:a16="http://schemas.microsoft.com/office/drawing/2014/main" id="{A451E82D-845E-8868-02C7-845EFC4706F3}"/>
                </a:ext>
              </a:extLst>
            </xdr:cNvPr>
            <xdr:cNvGraphicFramePr/>
          </xdr:nvGraphicFramePr>
          <xdr:xfrm>
            <a:off x="0" y="0"/>
            <a:ext cx="0" cy="0"/>
          </xdr:xfrm>
          <a:graphic>
            <a:graphicData uri="http://schemas.microsoft.com/office/drawing/2010/slicer">
              <sle:slicer xmlns:sle="http://schemas.microsoft.com/office/drawing/2010/slicer" name="Salary_Band"/>
            </a:graphicData>
          </a:graphic>
        </xdr:graphicFrame>
      </mc:Choice>
      <mc:Fallback xmlns="">
        <xdr:sp macro="" textlink="">
          <xdr:nvSpPr>
            <xdr:cNvPr id="0" name=""/>
            <xdr:cNvSpPr>
              <a:spLocks noTextEdit="1"/>
            </xdr:cNvSpPr>
          </xdr:nvSpPr>
          <xdr:spPr>
            <a:xfrm>
              <a:off x="2217420" y="191262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10</xdr:row>
      <xdr:rowOff>22861</xdr:rowOff>
    </xdr:from>
    <xdr:to>
      <xdr:col>2</xdr:col>
      <xdr:colOff>274320</xdr:colOff>
      <xdr:row>21</xdr:row>
      <xdr:rowOff>106681</xdr:rowOff>
    </xdr:to>
    <mc:AlternateContent xmlns:mc="http://schemas.openxmlformats.org/markup-compatibility/2006" xmlns:a14="http://schemas.microsoft.com/office/drawing/2010/main">
      <mc:Choice Requires="a14">
        <xdr:graphicFrame macro="">
          <xdr:nvGraphicFramePr>
            <xdr:cNvPr id="4" name="Department 2">
              <a:extLst>
                <a:ext uri="{FF2B5EF4-FFF2-40B4-BE49-F238E27FC236}">
                  <a16:creationId xmlns:a16="http://schemas.microsoft.com/office/drawing/2014/main" id="{0CA5923D-51DA-8949-0443-77A13B76115B}"/>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52400" y="189738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2</xdr:row>
      <xdr:rowOff>175261</xdr:rowOff>
    </xdr:from>
    <xdr:to>
      <xdr:col>15</xdr:col>
      <xdr:colOff>571500</xdr:colOff>
      <xdr:row>9</xdr:row>
      <xdr:rowOff>160021</xdr:rowOff>
    </xdr:to>
    <mc:AlternateContent xmlns:mc="http://schemas.openxmlformats.org/markup-compatibility/2006" xmlns:a14="http://schemas.microsoft.com/office/drawing/2010/main">
      <mc:Choice Requires="a14">
        <xdr:graphicFrame macro="">
          <xdr:nvGraphicFramePr>
            <xdr:cNvPr id="5" name="Exerience_category">
              <a:extLst>
                <a:ext uri="{FF2B5EF4-FFF2-40B4-BE49-F238E27FC236}">
                  <a16:creationId xmlns:a16="http://schemas.microsoft.com/office/drawing/2014/main" id="{814A58A3-D819-A678-99BB-D2EC94BBB9F0}"/>
                </a:ext>
              </a:extLst>
            </xdr:cNvPr>
            <xdr:cNvGraphicFramePr/>
          </xdr:nvGraphicFramePr>
          <xdr:xfrm>
            <a:off x="0" y="0"/>
            <a:ext cx="0" cy="0"/>
          </xdr:xfrm>
          <a:graphic>
            <a:graphicData uri="http://schemas.microsoft.com/office/drawing/2010/slicer">
              <sle:slicer xmlns:sle="http://schemas.microsoft.com/office/drawing/2010/slicer" name="Exerience_category"/>
            </a:graphicData>
          </a:graphic>
        </xdr:graphicFrame>
      </mc:Choice>
      <mc:Fallback xmlns="">
        <xdr:sp macro="" textlink="">
          <xdr:nvSpPr>
            <xdr:cNvPr id="0" name=""/>
            <xdr:cNvSpPr>
              <a:spLocks noTextEdit="1"/>
            </xdr:cNvSpPr>
          </xdr:nvSpPr>
          <xdr:spPr>
            <a:xfrm>
              <a:off x="9601200" y="58674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2124</xdr:colOff>
      <xdr:row>36</xdr:row>
      <xdr:rowOff>13601</xdr:rowOff>
    </xdr:from>
    <xdr:to>
      <xdr:col>18</xdr:col>
      <xdr:colOff>81796</xdr:colOff>
      <xdr:row>51</xdr:row>
      <xdr:rowOff>11093</xdr:rowOff>
    </xdr:to>
    <xdr:graphicFrame macro="">
      <xdr:nvGraphicFramePr>
        <xdr:cNvPr id="3" name="Chart 2">
          <a:extLst>
            <a:ext uri="{FF2B5EF4-FFF2-40B4-BE49-F238E27FC236}">
              <a16:creationId xmlns:a16="http://schemas.microsoft.com/office/drawing/2014/main" id="{DC2AA21C-B39B-B911-AE4F-C20EEF1D3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827925</xdr:colOff>
      <xdr:row>15</xdr:row>
      <xdr:rowOff>59175</xdr:rowOff>
    </xdr:from>
    <xdr:to>
      <xdr:col>12</xdr:col>
      <xdr:colOff>112988</xdr:colOff>
      <xdr:row>30</xdr:row>
      <xdr:rowOff>59175</xdr:rowOff>
    </xdr:to>
    <xdr:graphicFrame macro="">
      <xdr:nvGraphicFramePr>
        <xdr:cNvPr id="4" name="Chart 3">
          <a:extLst>
            <a:ext uri="{FF2B5EF4-FFF2-40B4-BE49-F238E27FC236}">
              <a16:creationId xmlns:a16="http://schemas.microsoft.com/office/drawing/2014/main" id="{449A81A7-1156-D631-9437-3789CA048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230787</xdr:colOff>
      <xdr:row>35</xdr:row>
      <xdr:rowOff>174681</xdr:rowOff>
    </xdr:from>
    <xdr:to>
      <xdr:col>23</xdr:col>
      <xdr:colOff>329622</xdr:colOff>
      <xdr:row>50</xdr:row>
      <xdr:rowOff>17836</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D04A29EE-AB9D-B947-C90C-B1D3400C334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118487" y="6588181"/>
              <a:ext cx="1787935" cy="2510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163105</xdr:colOff>
      <xdr:row>8</xdr:row>
      <xdr:rowOff>8681</xdr:rowOff>
    </xdr:from>
    <xdr:to>
      <xdr:col>17</xdr:col>
      <xdr:colOff>343187</xdr:colOff>
      <xdr:row>13</xdr:row>
      <xdr:rowOff>163975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6B4C197E-319D-F0EC-9060-E6E13D26BA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614185" y="1563161"/>
              <a:ext cx="1826003" cy="1069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289560</xdr:colOff>
      <xdr:row>8</xdr:row>
      <xdr:rowOff>0</xdr:rowOff>
    </xdr:from>
    <xdr:to>
      <xdr:col>1</xdr:col>
      <xdr:colOff>579120</xdr:colOff>
      <xdr:row>11</xdr:row>
      <xdr:rowOff>15240</xdr:rowOff>
    </xdr:to>
    <xdr:sp macro="" textlink="E9">
      <xdr:nvSpPr>
        <xdr:cNvPr id="10" name="Rectangle: Rounded Corners 9">
          <a:extLst>
            <a:ext uri="{FF2B5EF4-FFF2-40B4-BE49-F238E27FC236}">
              <a16:creationId xmlns:a16="http://schemas.microsoft.com/office/drawing/2014/main" id="{8667A370-4DD1-009A-7BE4-160703243D0F}"/>
            </a:ext>
          </a:extLst>
        </xdr:cNvPr>
        <xdr:cNvSpPr/>
      </xdr:nvSpPr>
      <xdr:spPr>
        <a:xfrm>
          <a:off x="289560" y="1546860"/>
          <a:ext cx="1188720" cy="56388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 Employee</a:t>
          </a:r>
        </a:p>
        <a:p>
          <a:pPr algn="l"/>
          <a:r>
            <a:rPr lang="en-US" sz="1100" b="0" i="0" u="none" strike="noStrike" baseline="0">
              <a:solidFill>
                <a:srgbClr val="000000"/>
              </a:solidFill>
              <a:latin typeface="Aptos Narrow"/>
            </a:rPr>
            <a:t>             120                              </a:t>
          </a:r>
          <a:endParaRPr lang="en-IN" sz="1100" b="1">
            <a:solidFill>
              <a:schemeClr val="tx1"/>
            </a:solidFill>
          </a:endParaRPr>
        </a:p>
      </xdr:txBody>
    </xdr:sp>
    <xdr:clientData/>
  </xdr:twoCellAnchor>
  <xdr:twoCellAnchor>
    <xdr:from>
      <xdr:col>2</xdr:col>
      <xdr:colOff>373380</xdr:colOff>
      <xdr:row>8</xdr:row>
      <xdr:rowOff>15240</xdr:rowOff>
    </xdr:from>
    <xdr:to>
      <xdr:col>3</xdr:col>
      <xdr:colOff>457200</xdr:colOff>
      <xdr:row>11</xdr:row>
      <xdr:rowOff>0</xdr:rowOff>
    </xdr:to>
    <xdr:sp macro="" textlink="H5">
      <xdr:nvSpPr>
        <xdr:cNvPr id="11" name="Rectangle: Rounded Corners 10">
          <a:extLst>
            <a:ext uri="{FF2B5EF4-FFF2-40B4-BE49-F238E27FC236}">
              <a16:creationId xmlns:a16="http://schemas.microsoft.com/office/drawing/2014/main" id="{6B9144C1-BC09-B435-A1BD-B4DE3F8294DA}"/>
            </a:ext>
          </a:extLst>
        </xdr:cNvPr>
        <xdr:cNvSpPr/>
      </xdr:nvSpPr>
      <xdr:spPr>
        <a:xfrm>
          <a:off x="1882140" y="1562100"/>
          <a:ext cx="1188720" cy="53340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 payroll</a:t>
          </a:r>
          <a:r>
            <a:rPr lang="en-US" sz="1100" b="0" i="0" u="none" strike="noStrike" baseline="0">
              <a:solidFill>
                <a:srgbClr val="000000"/>
              </a:solidFill>
              <a:latin typeface="Aptos Narrow"/>
            </a:rPr>
            <a:t> cost</a:t>
          </a:r>
          <a:r>
            <a:rPr lang="en-US" sz="1100" b="0" i="0" u="none" strike="noStrike">
              <a:solidFill>
                <a:srgbClr val="000000"/>
              </a:solidFill>
              <a:latin typeface="Aptos Narrow"/>
            </a:rPr>
            <a:t>  </a:t>
          </a:r>
        </a:p>
        <a:p>
          <a:pPr algn="l"/>
          <a:fld id="{5ED5C0AD-1DCC-4319-98C5-EC47AA3D679D}" type="TxLink">
            <a:rPr lang="en-US" sz="1100" b="0" i="0" u="none" strike="noStrike">
              <a:solidFill>
                <a:srgbClr val="000000"/>
              </a:solidFill>
              <a:latin typeface="Aptos Narrow"/>
            </a:rPr>
            <a:pPr algn="l"/>
            <a:t>₹ 74,65,876.00</a:t>
          </a:fld>
          <a:endParaRPr lang="en-IN" sz="1100">
            <a:solidFill>
              <a:schemeClr val="bg2">
                <a:lumMod val="10000"/>
              </a:schemeClr>
            </a:solidFill>
          </a:endParaRPr>
        </a:p>
      </xdr:txBody>
    </xdr:sp>
    <xdr:clientData/>
  </xdr:twoCellAnchor>
  <xdr:twoCellAnchor>
    <xdr:from>
      <xdr:col>3</xdr:col>
      <xdr:colOff>815340</xdr:colOff>
      <xdr:row>8</xdr:row>
      <xdr:rowOff>7620</xdr:rowOff>
    </xdr:from>
    <xdr:to>
      <xdr:col>5</xdr:col>
      <xdr:colOff>22860</xdr:colOff>
      <xdr:row>11</xdr:row>
      <xdr:rowOff>7620</xdr:rowOff>
    </xdr:to>
    <xdr:sp macro="" textlink="">
      <xdr:nvSpPr>
        <xdr:cNvPr id="12" name="Rectangle: Rounded Corners 11">
          <a:extLst>
            <a:ext uri="{FF2B5EF4-FFF2-40B4-BE49-F238E27FC236}">
              <a16:creationId xmlns:a16="http://schemas.microsoft.com/office/drawing/2014/main" id="{42EF3EBD-1577-4CB0-9263-6EF3F50E21EC}"/>
            </a:ext>
          </a:extLst>
        </xdr:cNvPr>
        <xdr:cNvSpPr/>
      </xdr:nvSpPr>
      <xdr:spPr>
        <a:xfrm>
          <a:off x="3429000" y="1554480"/>
          <a:ext cx="1211580" cy="54864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2">
                  <a:lumMod val="10000"/>
                </a:schemeClr>
              </a:solidFill>
            </a:rPr>
            <a:t>Highest Salary</a:t>
          </a:r>
        </a:p>
        <a:p>
          <a:pPr algn="l"/>
          <a:r>
            <a:rPr lang="en-US" sz="1100">
              <a:solidFill>
                <a:schemeClr val="bg2">
                  <a:lumMod val="10000"/>
                </a:schemeClr>
              </a:solidFill>
            </a:rPr>
            <a:t>        92911</a:t>
          </a:r>
        </a:p>
      </xdr:txBody>
    </xdr:sp>
    <xdr:clientData/>
  </xdr:twoCellAnchor>
  <xdr:twoCellAnchor>
    <xdr:from>
      <xdr:col>5</xdr:col>
      <xdr:colOff>827517</xdr:colOff>
      <xdr:row>8</xdr:row>
      <xdr:rowOff>22625</xdr:rowOff>
    </xdr:from>
    <xdr:to>
      <xdr:col>6</xdr:col>
      <xdr:colOff>713217</xdr:colOff>
      <xdr:row>11</xdr:row>
      <xdr:rowOff>7385</xdr:rowOff>
    </xdr:to>
    <xdr:sp macro="" textlink="J7">
      <xdr:nvSpPr>
        <xdr:cNvPr id="13" name="Rectangle: Rounded Corners 12">
          <a:extLst>
            <a:ext uri="{FF2B5EF4-FFF2-40B4-BE49-F238E27FC236}">
              <a16:creationId xmlns:a16="http://schemas.microsoft.com/office/drawing/2014/main" id="{F1BF7318-7995-445C-8469-18B57FB02D4F}"/>
            </a:ext>
          </a:extLst>
        </xdr:cNvPr>
        <xdr:cNvSpPr/>
      </xdr:nvSpPr>
      <xdr:spPr>
        <a:xfrm>
          <a:off x="5446651" y="1554481"/>
          <a:ext cx="1174030" cy="526801"/>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Lowest</a:t>
          </a:r>
          <a:r>
            <a:rPr lang="en-US" sz="1100" b="0" i="0" u="none" strike="noStrike" baseline="0">
              <a:solidFill>
                <a:srgbClr val="000000"/>
              </a:solidFill>
              <a:latin typeface="Aptos Narrow"/>
            </a:rPr>
            <a:t> Salary</a:t>
          </a:r>
          <a:endParaRPr lang="en-US" sz="1100" b="0" i="0" u="none" strike="noStrike">
            <a:solidFill>
              <a:srgbClr val="000000"/>
            </a:solidFill>
            <a:latin typeface="Aptos Narrow"/>
          </a:endParaRPr>
        </a:p>
        <a:p>
          <a:pPr algn="l"/>
          <a:r>
            <a:rPr lang="en-US" sz="1100" b="0" i="0" u="none" strike="noStrike">
              <a:solidFill>
                <a:srgbClr val="000000"/>
              </a:solidFill>
              <a:latin typeface="Aptos Narrow"/>
            </a:rPr>
            <a:t>       </a:t>
          </a:r>
          <a:r>
            <a:rPr lang="en-IN" sz="1100" b="0" i="0" u="none" strike="noStrike">
              <a:solidFill>
                <a:schemeClr val="bg2">
                  <a:lumMod val="10000"/>
                </a:schemeClr>
              </a:solidFill>
              <a:effectLst/>
              <a:latin typeface="+mn-lt"/>
              <a:ea typeface="+mn-ea"/>
              <a:cs typeface="+mn-cs"/>
            </a:rPr>
            <a:t>33894</a:t>
          </a:r>
          <a:r>
            <a:rPr lang="en-IN">
              <a:effectLst/>
            </a:rPr>
            <a:t> </a:t>
          </a:r>
          <a:endParaRPr lang="en-IN" sz="1100"/>
        </a:p>
      </xdr:txBody>
    </xdr:sp>
    <xdr:clientData/>
  </xdr:twoCellAnchor>
  <xdr:twoCellAnchor>
    <xdr:from>
      <xdr:col>9</xdr:col>
      <xdr:colOff>198120</xdr:colOff>
      <xdr:row>8</xdr:row>
      <xdr:rowOff>22860</xdr:rowOff>
    </xdr:from>
    <xdr:to>
      <xdr:col>10</xdr:col>
      <xdr:colOff>236220</xdr:colOff>
      <xdr:row>11</xdr:row>
      <xdr:rowOff>7620</xdr:rowOff>
    </xdr:to>
    <xdr:sp macro="" textlink="G5">
      <xdr:nvSpPr>
        <xdr:cNvPr id="14" name="Rectangle: Rounded Corners 13">
          <a:extLst>
            <a:ext uri="{FF2B5EF4-FFF2-40B4-BE49-F238E27FC236}">
              <a16:creationId xmlns:a16="http://schemas.microsoft.com/office/drawing/2014/main" id="{E6742AE7-7BD6-41A4-B8C2-93DA8BF9B709}"/>
            </a:ext>
          </a:extLst>
        </xdr:cNvPr>
        <xdr:cNvSpPr/>
      </xdr:nvSpPr>
      <xdr:spPr>
        <a:xfrm>
          <a:off x="9311640" y="1569720"/>
          <a:ext cx="1173480" cy="53340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 Tax</a:t>
          </a:r>
        </a:p>
        <a:p>
          <a:pPr algn="l"/>
          <a:fld id="{7A0DDF4C-8573-4C34-9EAA-9E8ED853154B}" type="TxLink">
            <a:rPr lang="en-US" sz="1100" b="0" i="0" u="none" strike="noStrike">
              <a:solidFill>
                <a:srgbClr val="000000"/>
              </a:solidFill>
              <a:latin typeface="Aptos Narrow"/>
            </a:rPr>
            <a:pPr algn="l"/>
            <a:t>₹ 7,12,697.00</a:t>
          </a:fld>
          <a:endParaRPr lang="en-IN" sz="1100"/>
        </a:p>
      </xdr:txBody>
    </xdr:sp>
    <xdr:clientData/>
  </xdr:twoCellAnchor>
  <xdr:twoCellAnchor>
    <xdr:from>
      <xdr:col>7</xdr:col>
      <xdr:colOff>388620</xdr:colOff>
      <xdr:row>8</xdr:row>
      <xdr:rowOff>53340</xdr:rowOff>
    </xdr:from>
    <xdr:to>
      <xdr:col>8</xdr:col>
      <xdr:colOff>563880</xdr:colOff>
      <xdr:row>11</xdr:row>
      <xdr:rowOff>38100</xdr:rowOff>
    </xdr:to>
    <xdr:sp macro="" textlink="D5">
      <xdr:nvSpPr>
        <xdr:cNvPr id="16" name="Rectangle: Rounded Corners 15">
          <a:extLst>
            <a:ext uri="{FF2B5EF4-FFF2-40B4-BE49-F238E27FC236}">
              <a16:creationId xmlns:a16="http://schemas.microsoft.com/office/drawing/2014/main" id="{481ED4C0-49D7-4154-A5F6-231F556EE8C4}"/>
            </a:ext>
          </a:extLst>
        </xdr:cNvPr>
        <xdr:cNvSpPr/>
      </xdr:nvSpPr>
      <xdr:spPr>
        <a:xfrm>
          <a:off x="7399020" y="1600200"/>
          <a:ext cx="1173480" cy="533400"/>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a:t>
          </a:r>
          <a:r>
            <a:rPr lang="en-US" sz="1100" b="0" i="0" u="none" strike="noStrike" baseline="0">
              <a:solidFill>
                <a:srgbClr val="000000"/>
              </a:solidFill>
              <a:latin typeface="Aptos Narrow"/>
            </a:rPr>
            <a:t> Bonus</a:t>
          </a:r>
          <a:endParaRPr lang="en-US" sz="1100" b="0" i="0" u="none" strike="noStrike">
            <a:solidFill>
              <a:srgbClr val="000000"/>
            </a:solidFill>
            <a:latin typeface="Aptos Narrow"/>
          </a:endParaRPr>
        </a:p>
        <a:p>
          <a:pPr algn="l"/>
          <a:fld id="{477BF52A-DE4D-4E15-A966-7282767FAB29}" type="TxLink">
            <a:rPr lang="en-US" sz="1100" b="0" i="0" u="none" strike="noStrike">
              <a:solidFill>
                <a:srgbClr val="000000"/>
              </a:solidFill>
              <a:latin typeface="Aptos Narrow"/>
            </a:rPr>
            <a:pPr algn="l"/>
            <a:t>₹ 7,12,358.00</a:t>
          </a:fld>
          <a:endParaRPr lang="en-IN" sz="1100"/>
        </a:p>
      </xdr:txBody>
    </xdr:sp>
    <xdr:clientData/>
  </xdr:twoCellAnchor>
  <xdr:twoCellAnchor>
    <xdr:from>
      <xdr:col>5</xdr:col>
      <xdr:colOff>756543</xdr:colOff>
      <xdr:row>53</xdr:row>
      <xdr:rowOff>6656</xdr:rowOff>
    </xdr:from>
    <xdr:to>
      <xdr:col>17</xdr:col>
      <xdr:colOff>21297</xdr:colOff>
      <xdr:row>70</xdr:row>
      <xdr:rowOff>61828</xdr:rowOff>
    </xdr:to>
    <xdr:graphicFrame macro="">
      <xdr:nvGraphicFramePr>
        <xdr:cNvPr id="17" name="Chart 16">
          <a:extLst>
            <a:ext uri="{FF2B5EF4-FFF2-40B4-BE49-F238E27FC236}">
              <a16:creationId xmlns:a16="http://schemas.microsoft.com/office/drawing/2014/main" id="{DECFA06F-31AF-51CB-3232-A6DDEC78A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111760</xdr:colOff>
      <xdr:row>15</xdr:row>
      <xdr:rowOff>109220</xdr:rowOff>
    </xdr:from>
    <xdr:to>
      <xdr:col>17</xdr:col>
      <xdr:colOff>314959</xdr:colOff>
      <xdr:row>30</xdr:row>
      <xdr:rowOff>23495</xdr:rowOff>
    </xdr:to>
    <mc:AlternateContent xmlns:mc="http://schemas.openxmlformats.org/markup-compatibility/2006" xmlns:a14="http://schemas.microsoft.com/office/drawing/2010/main">
      <mc:Choice Requires="a14">
        <xdr:graphicFrame macro="">
          <xdr:nvGraphicFramePr>
            <xdr:cNvPr id="5" name="Role">
              <a:extLst>
                <a:ext uri="{FF2B5EF4-FFF2-40B4-BE49-F238E27FC236}">
                  <a16:creationId xmlns:a16="http://schemas.microsoft.com/office/drawing/2014/main" id="{ABCD5C06-8181-53DE-62B6-DC6D23C57B4A}"/>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13561060" y="2915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42250</xdr:colOff>
      <xdr:row>6</xdr:row>
      <xdr:rowOff>143423</xdr:rowOff>
    </xdr:from>
    <xdr:to>
      <xdr:col>14</xdr:col>
      <xdr:colOff>39835</xdr:colOff>
      <xdr:row>20</xdr:row>
      <xdr:rowOff>120713</xdr:rowOff>
    </xdr:to>
    <mc:AlternateContent xmlns:mc="http://schemas.openxmlformats.org/markup-compatibility/2006" xmlns:a14="http://schemas.microsoft.com/office/drawing/2010/main">
      <mc:Choice Requires="a14">
        <xdr:graphicFrame macro="">
          <xdr:nvGraphicFramePr>
            <xdr:cNvPr id="3" name="Department 3">
              <a:extLst>
                <a:ext uri="{FF2B5EF4-FFF2-40B4-BE49-F238E27FC236}">
                  <a16:creationId xmlns:a16="http://schemas.microsoft.com/office/drawing/2014/main" id="{C01479FC-2454-C805-4656-BD88EBDF5530}"/>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8762917" y="1328756"/>
              <a:ext cx="1834200" cy="2530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33004</xdr:colOff>
      <xdr:row>45</xdr:row>
      <xdr:rowOff>43915</xdr:rowOff>
    </xdr:from>
    <xdr:to>
      <xdr:col>14</xdr:col>
      <xdr:colOff>23800</xdr:colOff>
      <xdr:row>58</xdr:row>
      <xdr:rowOff>79904</xdr:rowOff>
    </xdr:to>
    <mc:AlternateContent xmlns:mc="http://schemas.openxmlformats.org/markup-compatibility/2006" xmlns:a14="http://schemas.microsoft.com/office/drawing/2010/main">
      <mc:Choice Requires="a14">
        <xdr:graphicFrame macro="">
          <xdr:nvGraphicFramePr>
            <xdr:cNvPr id="4" name="Location 1">
              <a:extLst>
                <a:ext uri="{FF2B5EF4-FFF2-40B4-BE49-F238E27FC236}">
                  <a16:creationId xmlns:a16="http://schemas.microsoft.com/office/drawing/2014/main" id="{95202C7C-7C2D-29AA-058E-5E7B98FDA35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8753671" y="8432428"/>
              <a:ext cx="1827411" cy="2406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5614</xdr:colOff>
      <xdr:row>18</xdr:row>
      <xdr:rowOff>69258</xdr:rowOff>
    </xdr:from>
    <xdr:to>
      <xdr:col>18</xdr:col>
      <xdr:colOff>615213</xdr:colOff>
      <xdr:row>24</xdr:row>
      <xdr:rowOff>90985</xdr:rowOff>
    </xdr:to>
    <mc:AlternateContent xmlns:mc="http://schemas.openxmlformats.org/markup-compatibility/2006" xmlns:a14="http://schemas.microsoft.com/office/drawing/2010/main">
      <mc:Choice Requires="a14">
        <xdr:graphicFrame macro="">
          <xdr:nvGraphicFramePr>
            <xdr:cNvPr id="5" name="Gender 2">
              <a:extLst>
                <a:ext uri="{FF2B5EF4-FFF2-40B4-BE49-F238E27FC236}">
                  <a16:creationId xmlns:a16="http://schemas.microsoft.com/office/drawing/2014/main" id="{31C80D92-6E15-C3B0-FAF8-47BA1850E16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1787306" y="3442899"/>
              <a:ext cx="1836615" cy="1161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622426</xdr:colOff>
      <xdr:row>6</xdr:row>
      <xdr:rowOff>141083</xdr:rowOff>
    </xdr:from>
    <xdr:to>
      <xdr:col>9</xdr:col>
      <xdr:colOff>516802</xdr:colOff>
      <xdr:row>20</xdr:row>
      <xdr:rowOff>120713</xdr:rowOff>
    </xdr:to>
    <xdr:graphicFrame macro="">
      <xdr:nvGraphicFramePr>
        <xdr:cNvPr id="7" name="Chart 6">
          <a:extLst>
            <a:ext uri="{FF2B5EF4-FFF2-40B4-BE49-F238E27FC236}">
              <a16:creationId xmlns:a16="http://schemas.microsoft.com/office/drawing/2014/main" id="{E846C82C-5F0A-52FB-1B54-BD25E20F1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14263</xdr:colOff>
      <xdr:row>25</xdr:row>
      <xdr:rowOff>14188</xdr:rowOff>
    </xdr:from>
    <xdr:to>
      <xdr:col>14</xdr:col>
      <xdr:colOff>9736</xdr:colOff>
      <xdr:row>37</xdr:row>
      <xdr:rowOff>170597</xdr:rowOff>
    </xdr:to>
    <mc:AlternateContent xmlns:mc="http://schemas.openxmlformats.org/markup-compatibility/2006" xmlns:a14="http://schemas.microsoft.com/office/drawing/2010/main">
      <mc:Choice Requires="a14">
        <xdr:graphicFrame macro="">
          <xdr:nvGraphicFramePr>
            <xdr:cNvPr id="8" name="Salary_Band 1">
              <a:extLst>
                <a:ext uri="{FF2B5EF4-FFF2-40B4-BE49-F238E27FC236}">
                  <a16:creationId xmlns:a16="http://schemas.microsoft.com/office/drawing/2014/main" id="{3DE89138-B6C2-B8D1-670A-53D1CDBCEC58}"/>
                </a:ext>
              </a:extLst>
            </xdr:cNvPr>
            <xdr:cNvGraphicFramePr/>
          </xdr:nvGraphicFramePr>
          <xdr:xfrm>
            <a:off x="0" y="0"/>
            <a:ext cx="0" cy="0"/>
          </xdr:xfrm>
          <a:graphic>
            <a:graphicData uri="http://schemas.microsoft.com/office/drawing/2010/slicer">
              <sle:slicer xmlns:sle="http://schemas.microsoft.com/office/drawing/2010/slicer" name="Salary_Band 1"/>
            </a:graphicData>
          </a:graphic>
        </xdr:graphicFrame>
      </mc:Choice>
      <mc:Fallback xmlns="">
        <xdr:sp macro="" textlink="">
          <xdr:nvSpPr>
            <xdr:cNvPr id="0" name=""/>
            <xdr:cNvSpPr>
              <a:spLocks noTextEdit="1"/>
            </xdr:cNvSpPr>
          </xdr:nvSpPr>
          <xdr:spPr>
            <a:xfrm>
              <a:off x="8734930" y="4709932"/>
              <a:ext cx="1832088" cy="2344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524346</xdr:colOff>
      <xdr:row>45</xdr:row>
      <xdr:rowOff>5281</xdr:rowOff>
    </xdr:from>
    <xdr:to>
      <xdr:col>9</xdr:col>
      <xdr:colOff>418724</xdr:colOff>
      <xdr:row>60</xdr:row>
      <xdr:rowOff>32442</xdr:rowOff>
    </xdr:to>
    <xdr:graphicFrame macro="">
      <xdr:nvGraphicFramePr>
        <xdr:cNvPr id="9" name="Chart 8">
          <a:extLst>
            <a:ext uri="{FF2B5EF4-FFF2-40B4-BE49-F238E27FC236}">
              <a16:creationId xmlns:a16="http://schemas.microsoft.com/office/drawing/2014/main" id="{F8A8D0FF-9CB2-685A-E01E-70A4E3BF3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607335</xdr:colOff>
      <xdr:row>24</xdr:row>
      <xdr:rowOff>171261</xdr:rowOff>
    </xdr:from>
    <xdr:to>
      <xdr:col>9</xdr:col>
      <xdr:colOff>501712</xdr:colOff>
      <xdr:row>38</xdr:row>
      <xdr:rowOff>15088</xdr:rowOff>
    </xdr:to>
    <xdr:graphicFrame macro="">
      <xdr:nvGraphicFramePr>
        <xdr:cNvPr id="10" name="Chart 9">
          <a:extLst>
            <a:ext uri="{FF2B5EF4-FFF2-40B4-BE49-F238E27FC236}">
              <a16:creationId xmlns:a16="http://schemas.microsoft.com/office/drawing/2014/main" id="{076A28F3-1B29-E16C-1FC4-7FA2288A6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275501</xdr:colOff>
      <xdr:row>42</xdr:row>
      <xdr:rowOff>153407</xdr:rowOff>
    </xdr:from>
    <xdr:to>
      <xdr:col>29</xdr:col>
      <xdr:colOff>238785</xdr:colOff>
      <xdr:row>57</xdr:row>
      <xdr:rowOff>148125</xdr:rowOff>
    </xdr:to>
    <xdr:graphicFrame macro="">
      <xdr:nvGraphicFramePr>
        <xdr:cNvPr id="11" name="Chart 10">
          <a:extLst>
            <a:ext uri="{FF2B5EF4-FFF2-40B4-BE49-F238E27FC236}">
              <a16:creationId xmlns:a16="http://schemas.microsoft.com/office/drawing/2014/main" id="{3F46476D-5B4D-FA6C-5E89-9132872E2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1737360</xdr:colOff>
      <xdr:row>11</xdr:row>
      <xdr:rowOff>127000</xdr:rowOff>
    </xdr:from>
    <xdr:to>
      <xdr:col>8</xdr:col>
      <xdr:colOff>375920</xdr:colOff>
      <xdr:row>26</xdr:row>
      <xdr:rowOff>127000</xdr:rowOff>
    </xdr:to>
    <xdr:graphicFrame macro="">
      <xdr:nvGraphicFramePr>
        <xdr:cNvPr id="2" name="Chart 1">
          <a:extLst>
            <a:ext uri="{FF2B5EF4-FFF2-40B4-BE49-F238E27FC236}">
              <a16:creationId xmlns:a16="http://schemas.microsoft.com/office/drawing/2014/main" id="{C6EF4892-0BEF-C023-16E2-8ABC7D6F9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312420</xdr:colOff>
      <xdr:row>11</xdr:row>
      <xdr:rowOff>129541</xdr:rowOff>
    </xdr:from>
    <xdr:to>
      <xdr:col>2</xdr:col>
      <xdr:colOff>899160</xdr:colOff>
      <xdr:row>18</xdr:row>
      <xdr:rowOff>68581</xdr:rowOff>
    </xdr:to>
    <mc:AlternateContent xmlns:mc="http://schemas.openxmlformats.org/markup-compatibility/2006" xmlns:a14="http://schemas.microsoft.com/office/drawing/2010/main">
      <mc:Choice Requires="a14">
        <xdr:graphicFrame macro="">
          <xdr:nvGraphicFramePr>
            <xdr:cNvPr id="3" name="Gender 3">
              <a:extLst>
                <a:ext uri="{FF2B5EF4-FFF2-40B4-BE49-F238E27FC236}">
                  <a16:creationId xmlns:a16="http://schemas.microsoft.com/office/drawing/2014/main" id="{41450990-E8BF-A8FE-A9BE-B8F9CD5B33F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917845" y="2279842"/>
              <a:ext cx="1835167" cy="1254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312420</xdr:colOff>
      <xdr:row>11</xdr:row>
      <xdr:rowOff>121921</xdr:rowOff>
    </xdr:from>
    <xdr:to>
      <xdr:col>12</xdr:col>
      <xdr:colOff>312420</xdr:colOff>
      <xdr:row>23</xdr:row>
      <xdr:rowOff>1</xdr:rowOff>
    </xdr:to>
    <mc:AlternateContent xmlns:mc="http://schemas.openxmlformats.org/markup-compatibility/2006" xmlns:a14="http://schemas.microsoft.com/office/drawing/2010/main">
      <mc:Choice Requires="a14">
        <xdr:graphicFrame macro="">
          <xdr:nvGraphicFramePr>
            <xdr:cNvPr id="5" name="Department 4">
              <a:extLst>
                <a:ext uri="{FF2B5EF4-FFF2-40B4-BE49-F238E27FC236}">
                  <a16:creationId xmlns:a16="http://schemas.microsoft.com/office/drawing/2014/main" id="{99773311-37DE-A8A9-FA1E-C686CE4480FB}"/>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8287324" y="2272222"/>
              <a:ext cx="1816274" cy="2132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518160</xdr:colOff>
      <xdr:row>29</xdr:row>
      <xdr:rowOff>167640</xdr:rowOff>
    </xdr:from>
    <xdr:to>
      <xdr:col>8</xdr:col>
      <xdr:colOff>190500</xdr:colOff>
      <xdr:row>44</xdr:row>
      <xdr:rowOff>167640</xdr:rowOff>
    </xdr:to>
    <xdr:graphicFrame macro="">
      <xdr:nvGraphicFramePr>
        <xdr:cNvPr id="7" name="Chart 6">
          <a:extLst>
            <a:ext uri="{FF2B5EF4-FFF2-40B4-BE49-F238E27FC236}">
              <a16:creationId xmlns:a16="http://schemas.microsoft.com/office/drawing/2014/main" id="{0F0DAE6B-CD12-7287-CFFD-57769C61D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22860</xdr:colOff>
      <xdr:row>38</xdr:row>
      <xdr:rowOff>1</xdr:rowOff>
    </xdr:from>
    <xdr:to>
      <xdr:col>2</xdr:col>
      <xdr:colOff>609600</xdr:colOff>
      <xdr:row>44</xdr:row>
      <xdr:rowOff>175261</xdr:rowOff>
    </xdr:to>
    <mc:AlternateContent xmlns:mc="http://schemas.openxmlformats.org/markup-compatibility/2006" xmlns:a14="http://schemas.microsoft.com/office/drawing/2010/main">
      <mc:Choice Requires="a14">
        <xdr:graphicFrame macro="">
          <xdr:nvGraphicFramePr>
            <xdr:cNvPr id="8" name="Gender 4">
              <a:extLst>
                <a:ext uri="{FF2B5EF4-FFF2-40B4-BE49-F238E27FC236}">
                  <a16:creationId xmlns:a16="http://schemas.microsoft.com/office/drawing/2014/main" id="{A241128B-B0DE-22CB-DF5F-8C4EF71BA8FD}"/>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628285" y="7265097"/>
              <a:ext cx="1835167" cy="1302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29</xdr:row>
      <xdr:rowOff>175260</xdr:rowOff>
    </xdr:from>
    <xdr:to>
      <xdr:col>12</xdr:col>
      <xdr:colOff>152400</xdr:colOff>
      <xdr:row>44</xdr:row>
      <xdr:rowOff>13335</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23549A0B-E589-495C-E18C-5F140D29B81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127304" y="5749342"/>
              <a:ext cx="1816274" cy="2656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7397</xdr:colOff>
      <xdr:row>3</xdr:row>
      <xdr:rowOff>42333</xdr:rowOff>
    </xdr:from>
    <xdr:to>
      <xdr:col>3</xdr:col>
      <xdr:colOff>169332</xdr:colOff>
      <xdr:row>7</xdr:row>
      <xdr:rowOff>22194</xdr:rowOff>
    </xdr:to>
    <xdr:sp macro="" textlink="E9">
      <xdr:nvSpPr>
        <xdr:cNvPr id="2" name="Rectangle: Rounded Corners 1">
          <a:extLst>
            <a:ext uri="{FF2B5EF4-FFF2-40B4-BE49-F238E27FC236}">
              <a16:creationId xmlns:a16="http://schemas.microsoft.com/office/drawing/2014/main" id="{FF937DFD-EEAB-43D8-946C-0D05FB750E46}"/>
            </a:ext>
          </a:extLst>
        </xdr:cNvPr>
        <xdr:cNvSpPr/>
      </xdr:nvSpPr>
      <xdr:spPr>
        <a:xfrm>
          <a:off x="7397" y="666750"/>
          <a:ext cx="2003435" cy="699527"/>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 Employee</a:t>
          </a:r>
        </a:p>
        <a:p>
          <a:pPr algn="l"/>
          <a:r>
            <a:rPr lang="en-US" sz="1100" b="0" i="0" u="none" strike="noStrike" baseline="0">
              <a:solidFill>
                <a:srgbClr val="000000"/>
              </a:solidFill>
              <a:latin typeface="Aptos Narrow"/>
            </a:rPr>
            <a:t>             120                              </a:t>
          </a:r>
          <a:endParaRPr lang="en-IN" sz="1100" b="1">
            <a:solidFill>
              <a:schemeClr val="tx1"/>
            </a:solidFill>
          </a:endParaRPr>
        </a:p>
      </xdr:txBody>
    </xdr:sp>
    <xdr:clientData/>
  </xdr:twoCellAnchor>
  <xdr:twoCellAnchor>
    <xdr:from>
      <xdr:col>3</xdr:col>
      <xdr:colOff>347709</xdr:colOff>
      <xdr:row>4</xdr:row>
      <xdr:rowOff>44389</xdr:rowOff>
    </xdr:from>
    <xdr:to>
      <xdr:col>5</xdr:col>
      <xdr:colOff>400772</xdr:colOff>
      <xdr:row>7</xdr:row>
      <xdr:rowOff>10368</xdr:rowOff>
    </xdr:to>
    <xdr:sp macro="" textlink="H5">
      <xdr:nvSpPr>
        <xdr:cNvPr id="3" name="Rectangle: Rounded Corners 2">
          <a:extLst>
            <a:ext uri="{FF2B5EF4-FFF2-40B4-BE49-F238E27FC236}">
              <a16:creationId xmlns:a16="http://schemas.microsoft.com/office/drawing/2014/main" id="{CB22D33C-6496-442F-A542-D877EB9A023E}"/>
            </a:ext>
          </a:extLst>
        </xdr:cNvPr>
        <xdr:cNvSpPr/>
      </xdr:nvSpPr>
      <xdr:spPr>
        <a:xfrm>
          <a:off x="2167631" y="865573"/>
          <a:ext cx="1266345" cy="520834"/>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 payroll</a:t>
          </a:r>
          <a:r>
            <a:rPr lang="en-US" sz="1100" b="0" i="0" u="none" strike="noStrike" baseline="0">
              <a:solidFill>
                <a:srgbClr val="000000"/>
              </a:solidFill>
              <a:latin typeface="Aptos Narrow"/>
            </a:rPr>
            <a:t> cost</a:t>
          </a:r>
          <a:r>
            <a:rPr lang="en-US" sz="1100" b="0" i="0" u="none" strike="noStrike">
              <a:solidFill>
                <a:srgbClr val="000000"/>
              </a:solidFill>
              <a:latin typeface="Aptos Narrow"/>
            </a:rPr>
            <a:t>  </a:t>
          </a:r>
        </a:p>
        <a:p>
          <a:pPr algn="l"/>
          <a:fld id="{5ED5C0AD-1DCC-4319-98C5-EC47AA3D679D}" type="TxLink">
            <a:rPr lang="en-US" sz="1100" b="0" i="0" u="none" strike="noStrike">
              <a:solidFill>
                <a:srgbClr val="000000"/>
              </a:solidFill>
              <a:latin typeface="Aptos Narrow"/>
            </a:rPr>
            <a:pPr algn="l"/>
            <a:t>₹ 74,65,876.00</a:t>
          </a:fld>
          <a:endParaRPr lang="en-IN" sz="1100">
            <a:solidFill>
              <a:schemeClr val="bg2">
                <a:lumMod val="10000"/>
              </a:schemeClr>
            </a:solidFill>
          </a:endParaRPr>
        </a:p>
      </xdr:txBody>
    </xdr:sp>
    <xdr:clientData/>
  </xdr:twoCellAnchor>
  <xdr:twoCellAnchor>
    <xdr:from>
      <xdr:col>8</xdr:col>
      <xdr:colOff>554854</xdr:colOff>
      <xdr:row>4</xdr:row>
      <xdr:rowOff>81378</xdr:rowOff>
    </xdr:from>
    <xdr:to>
      <xdr:col>10</xdr:col>
      <xdr:colOff>495670</xdr:colOff>
      <xdr:row>7</xdr:row>
      <xdr:rowOff>105834</xdr:rowOff>
    </xdr:to>
    <xdr:sp macro="" textlink="">
      <xdr:nvSpPr>
        <xdr:cNvPr id="4" name="Rectangle: Rounded Corners 3">
          <a:extLst>
            <a:ext uri="{FF2B5EF4-FFF2-40B4-BE49-F238E27FC236}">
              <a16:creationId xmlns:a16="http://schemas.microsoft.com/office/drawing/2014/main" id="{6214F78D-A1F7-4EA2-84FE-5EA3F1A2BAEE}"/>
            </a:ext>
          </a:extLst>
        </xdr:cNvPr>
        <xdr:cNvSpPr/>
      </xdr:nvSpPr>
      <xdr:spPr>
        <a:xfrm>
          <a:off x="5465521" y="885711"/>
          <a:ext cx="1168482" cy="564206"/>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2">
                  <a:lumMod val="10000"/>
                </a:schemeClr>
              </a:solidFill>
            </a:rPr>
            <a:t>Highest Salary</a:t>
          </a:r>
        </a:p>
        <a:p>
          <a:pPr algn="l"/>
          <a:r>
            <a:rPr lang="en-US" sz="1100">
              <a:solidFill>
                <a:schemeClr val="bg2">
                  <a:lumMod val="10000"/>
                </a:schemeClr>
              </a:solidFill>
            </a:rPr>
            <a:t>        92,911</a:t>
          </a:r>
        </a:p>
      </xdr:txBody>
    </xdr:sp>
    <xdr:clientData/>
  </xdr:twoCellAnchor>
  <xdr:twoCellAnchor>
    <xdr:from>
      <xdr:col>11</xdr:col>
      <xdr:colOff>162741</xdr:colOff>
      <xdr:row>4</xdr:row>
      <xdr:rowOff>76194</xdr:rowOff>
    </xdr:from>
    <xdr:to>
      <xdr:col>13</xdr:col>
      <xdr:colOff>273727</xdr:colOff>
      <xdr:row>7</xdr:row>
      <xdr:rowOff>105834</xdr:rowOff>
    </xdr:to>
    <xdr:sp macro="" textlink="J7">
      <xdr:nvSpPr>
        <xdr:cNvPr id="5" name="Rectangle: Rounded Corners 4">
          <a:extLst>
            <a:ext uri="{FF2B5EF4-FFF2-40B4-BE49-F238E27FC236}">
              <a16:creationId xmlns:a16="http://schemas.microsoft.com/office/drawing/2014/main" id="{792CEA8B-AE43-4F1A-AB67-4D5866247E69}"/>
            </a:ext>
          </a:extLst>
        </xdr:cNvPr>
        <xdr:cNvSpPr/>
      </xdr:nvSpPr>
      <xdr:spPr>
        <a:xfrm>
          <a:off x="6914908" y="880527"/>
          <a:ext cx="1338652" cy="569390"/>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Lowest</a:t>
          </a:r>
          <a:r>
            <a:rPr lang="en-US" sz="1100" b="0" i="0" u="none" strike="noStrike" baseline="0">
              <a:solidFill>
                <a:srgbClr val="000000"/>
              </a:solidFill>
              <a:latin typeface="Aptos Narrow"/>
            </a:rPr>
            <a:t> Salary</a:t>
          </a:r>
          <a:endParaRPr lang="en-US" sz="1100" b="0" i="0" u="none" strike="noStrike">
            <a:solidFill>
              <a:srgbClr val="000000"/>
            </a:solidFill>
            <a:latin typeface="Aptos Narrow"/>
          </a:endParaRPr>
        </a:p>
        <a:p>
          <a:pPr algn="l"/>
          <a:r>
            <a:rPr lang="en-US" sz="1100" b="0" i="0" u="none" strike="noStrike">
              <a:solidFill>
                <a:srgbClr val="000000"/>
              </a:solidFill>
              <a:latin typeface="Aptos Narrow"/>
            </a:rPr>
            <a:t>       </a:t>
          </a:r>
          <a:r>
            <a:rPr lang="en-IN" sz="1100" b="0" i="0" u="none" strike="noStrike">
              <a:solidFill>
                <a:schemeClr val="bg2">
                  <a:lumMod val="10000"/>
                </a:schemeClr>
              </a:solidFill>
              <a:effectLst/>
              <a:latin typeface="+mn-lt"/>
              <a:ea typeface="+mn-ea"/>
              <a:cs typeface="+mn-cs"/>
            </a:rPr>
            <a:t>33,894</a:t>
          </a:r>
          <a:r>
            <a:rPr lang="en-IN">
              <a:effectLst/>
            </a:rPr>
            <a:t> </a:t>
          </a:r>
          <a:endParaRPr lang="en-IN" sz="1100"/>
        </a:p>
      </xdr:txBody>
    </xdr:sp>
    <xdr:clientData/>
  </xdr:twoCellAnchor>
  <xdr:twoCellAnchor>
    <xdr:from>
      <xdr:col>13</xdr:col>
      <xdr:colOff>598618</xdr:colOff>
      <xdr:row>4</xdr:row>
      <xdr:rowOff>81416</xdr:rowOff>
    </xdr:from>
    <xdr:to>
      <xdr:col>15</xdr:col>
      <xdr:colOff>510466</xdr:colOff>
      <xdr:row>7</xdr:row>
      <xdr:rowOff>22194</xdr:rowOff>
    </xdr:to>
    <xdr:sp macro="" textlink="D5">
      <xdr:nvSpPr>
        <xdr:cNvPr id="7" name="Rectangle: Rounded Corners 6">
          <a:extLst>
            <a:ext uri="{FF2B5EF4-FFF2-40B4-BE49-F238E27FC236}">
              <a16:creationId xmlns:a16="http://schemas.microsoft.com/office/drawing/2014/main" id="{3B7B6CF0-138E-4C3D-995B-1947852F0B32}"/>
            </a:ext>
          </a:extLst>
        </xdr:cNvPr>
        <xdr:cNvSpPr/>
      </xdr:nvSpPr>
      <xdr:spPr>
        <a:xfrm>
          <a:off x="8484948" y="902600"/>
          <a:ext cx="1125130" cy="495633"/>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a:t>
          </a:r>
          <a:r>
            <a:rPr lang="en-US" sz="1100" b="0" i="0" u="none" strike="noStrike" baseline="0">
              <a:solidFill>
                <a:srgbClr val="000000"/>
              </a:solidFill>
              <a:latin typeface="Aptos Narrow"/>
            </a:rPr>
            <a:t> Bonus</a:t>
          </a:r>
          <a:endParaRPr lang="en-US" sz="1100" b="0" i="0" u="none" strike="noStrike">
            <a:solidFill>
              <a:srgbClr val="000000"/>
            </a:solidFill>
            <a:latin typeface="Aptos Narrow"/>
          </a:endParaRPr>
        </a:p>
        <a:p>
          <a:pPr algn="l"/>
          <a:fld id="{477BF52A-DE4D-4E15-A966-7282767FAB29}" type="TxLink">
            <a:rPr lang="en-US" sz="1100" b="0" i="0" u="none" strike="noStrike">
              <a:solidFill>
                <a:srgbClr val="000000"/>
              </a:solidFill>
              <a:latin typeface="Aptos Narrow"/>
            </a:rPr>
            <a:pPr algn="l"/>
            <a:t>₹ 7,12,358.00</a:t>
          </a:fld>
          <a:endParaRPr lang="en-IN" sz="1100"/>
        </a:p>
      </xdr:txBody>
    </xdr:sp>
    <xdr:clientData/>
  </xdr:twoCellAnchor>
  <xdr:twoCellAnchor>
    <xdr:from>
      <xdr:col>6</xdr:col>
      <xdr:colOff>96175</xdr:colOff>
      <xdr:row>4</xdr:row>
      <xdr:rowOff>73982</xdr:rowOff>
    </xdr:from>
    <xdr:to>
      <xdr:col>8</xdr:col>
      <xdr:colOff>251535</xdr:colOff>
      <xdr:row>7</xdr:row>
      <xdr:rowOff>22195</xdr:rowOff>
    </xdr:to>
    <xdr:sp macro="" textlink="D5">
      <xdr:nvSpPr>
        <xdr:cNvPr id="8" name="Rectangle: Rounded Corners 7">
          <a:extLst>
            <a:ext uri="{FF2B5EF4-FFF2-40B4-BE49-F238E27FC236}">
              <a16:creationId xmlns:a16="http://schemas.microsoft.com/office/drawing/2014/main" id="{7A25D0B5-43C5-4DE3-B9C0-96A038C2EA61}"/>
            </a:ext>
          </a:extLst>
        </xdr:cNvPr>
        <xdr:cNvSpPr/>
      </xdr:nvSpPr>
      <xdr:spPr>
        <a:xfrm>
          <a:off x="3736020" y="895166"/>
          <a:ext cx="1368641" cy="503068"/>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Average</a:t>
          </a:r>
          <a:r>
            <a:rPr lang="en-US" sz="1100" b="0" i="0" u="none" strike="noStrike" baseline="0">
              <a:solidFill>
                <a:srgbClr val="000000"/>
              </a:solidFill>
              <a:latin typeface="Aptos Narrow"/>
            </a:rPr>
            <a:t> Net_Salary</a:t>
          </a:r>
        </a:p>
        <a:p>
          <a:pPr algn="l"/>
          <a:r>
            <a:rPr lang="en-US" sz="1100" b="0" i="0" u="none" strike="noStrike">
              <a:solidFill>
                <a:schemeClr val="bg2">
                  <a:lumMod val="10000"/>
                </a:schemeClr>
              </a:solidFill>
              <a:latin typeface="Aptos Narrow"/>
            </a:rPr>
            <a:t>         62,215.63</a:t>
          </a:r>
        </a:p>
      </xdr:txBody>
    </xdr:sp>
    <xdr:clientData/>
  </xdr:twoCellAnchor>
  <xdr:twoCellAnchor>
    <xdr:from>
      <xdr:col>18</xdr:col>
      <xdr:colOff>370349</xdr:colOff>
      <xdr:row>3</xdr:row>
      <xdr:rowOff>52916</xdr:rowOff>
    </xdr:from>
    <xdr:to>
      <xdr:col>23</xdr:col>
      <xdr:colOff>31750</xdr:colOff>
      <xdr:row>7</xdr:row>
      <xdr:rowOff>22195</xdr:rowOff>
    </xdr:to>
    <xdr:sp macro="" textlink="D5">
      <xdr:nvSpPr>
        <xdr:cNvPr id="9" name="Rectangle: Rounded Corners 8">
          <a:extLst>
            <a:ext uri="{FF2B5EF4-FFF2-40B4-BE49-F238E27FC236}">
              <a16:creationId xmlns:a16="http://schemas.microsoft.com/office/drawing/2014/main" id="{73752D91-A2A7-4A65-A20E-6408893E92B0}"/>
            </a:ext>
          </a:extLst>
        </xdr:cNvPr>
        <xdr:cNvSpPr/>
      </xdr:nvSpPr>
      <xdr:spPr>
        <a:xfrm>
          <a:off x="11419349" y="677333"/>
          <a:ext cx="2730568" cy="688945"/>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Average</a:t>
          </a:r>
          <a:r>
            <a:rPr lang="en-US" sz="1100" b="0" i="0" u="none" strike="noStrike" baseline="0">
              <a:solidFill>
                <a:srgbClr val="000000"/>
              </a:solidFill>
              <a:latin typeface="Aptos Narrow"/>
            </a:rPr>
            <a:t> Performance_Rating</a:t>
          </a:r>
        </a:p>
        <a:p>
          <a:pPr algn="l"/>
          <a:r>
            <a:rPr lang="en-US" sz="1100" b="0" i="0" u="none" strike="noStrike">
              <a:solidFill>
                <a:schemeClr val="tx1"/>
              </a:solidFill>
              <a:latin typeface="Aptos Narrow"/>
            </a:rPr>
            <a:t>                       3.525</a:t>
          </a:r>
        </a:p>
      </xdr:txBody>
    </xdr:sp>
    <xdr:clientData/>
  </xdr:twoCellAnchor>
  <xdr:twoCellAnchor>
    <xdr:from>
      <xdr:col>16</xdr:col>
      <xdr:colOff>203404</xdr:colOff>
      <xdr:row>4</xdr:row>
      <xdr:rowOff>87711</xdr:rowOff>
    </xdr:from>
    <xdr:to>
      <xdr:col>18</xdr:col>
      <xdr:colOff>147962</xdr:colOff>
      <xdr:row>7</xdr:row>
      <xdr:rowOff>63500</xdr:rowOff>
    </xdr:to>
    <xdr:sp macro="" textlink="D5">
      <xdr:nvSpPr>
        <xdr:cNvPr id="10" name="Rectangle: Rounded Corners 9">
          <a:extLst>
            <a:ext uri="{FF2B5EF4-FFF2-40B4-BE49-F238E27FC236}">
              <a16:creationId xmlns:a16="http://schemas.microsoft.com/office/drawing/2014/main" id="{C80C3B92-E316-41B0-9583-C72EB93D9EC3}"/>
            </a:ext>
          </a:extLst>
        </xdr:cNvPr>
        <xdr:cNvSpPr/>
      </xdr:nvSpPr>
      <xdr:spPr>
        <a:xfrm>
          <a:off x="10024737" y="892044"/>
          <a:ext cx="1172225" cy="515539"/>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baseline="0">
              <a:solidFill>
                <a:srgbClr val="000000"/>
              </a:solidFill>
              <a:latin typeface="Aptos Narrow"/>
            </a:rPr>
            <a:t>Total_Deduction</a:t>
          </a:r>
        </a:p>
        <a:p>
          <a:pPr algn="l"/>
          <a:r>
            <a:rPr lang="en-US" sz="1100" b="0" i="0" u="none" strike="noStrike" baseline="0">
              <a:solidFill>
                <a:srgbClr val="000000"/>
              </a:solidFill>
              <a:latin typeface="Aptos Narrow"/>
            </a:rPr>
            <a:t>           360971</a:t>
          </a:r>
        </a:p>
      </xdr:txBody>
    </xdr:sp>
    <xdr:clientData/>
  </xdr:twoCellAnchor>
  <xdr:twoCellAnchor editAs="oneCell">
    <xdr:from>
      <xdr:col>0</xdr:col>
      <xdr:colOff>266332</xdr:colOff>
      <xdr:row>8</xdr:row>
      <xdr:rowOff>170155</xdr:rowOff>
    </xdr:from>
    <xdr:to>
      <xdr:col>3</xdr:col>
      <xdr:colOff>252093</xdr:colOff>
      <xdr:row>14</xdr:row>
      <xdr:rowOff>104740</xdr:rowOff>
    </xdr:to>
    <mc:AlternateContent xmlns:mc="http://schemas.openxmlformats.org/markup-compatibility/2006" xmlns:a14="http://schemas.microsoft.com/office/drawing/2010/main">
      <mc:Choice Requires="a14">
        <xdr:graphicFrame macro="">
          <xdr:nvGraphicFramePr>
            <xdr:cNvPr id="11" name="Gender 5">
              <a:extLst>
                <a:ext uri="{FF2B5EF4-FFF2-40B4-BE49-F238E27FC236}">
                  <a16:creationId xmlns:a16="http://schemas.microsoft.com/office/drawing/2014/main" id="{9D68316B-94C6-4CE2-BBAB-3023D58EE8A2}"/>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266332" y="1694155"/>
              <a:ext cx="1827261" cy="1014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351977</xdr:colOff>
      <xdr:row>30</xdr:row>
      <xdr:rowOff>66012</xdr:rowOff>
    </xdr:from>
    <xdr:to>
      <xdr:col>3</xdr:col>
      <xdr:colOff>311168</xdr:colOff>
      <xdr:row>43</xdr:row>
      <xdr:rowOff>171798</xdr:rowOff>
    </xdr:to>
    <mc:AlternateContent xmlns:mc="http://schemas.openxmlformats.org/markup-compatibility/2006" xmlns:a14="http://schemas.microsoft.com/office/drawing/2010/main">
      <mc:Choice Requires="a14">
        <xdr:graphicFrame macro="">
          <xdr:nvGraphicFramePr>
            <xdr:cNvPr id="12" name="Department 5">
              <a:extLst>
                <a:ext uri="{FF2B5EF4-FFF2-40B4-BE49-F238E27FC236}">
                  <a16:creationId xmlns:a16="http://schemas.microsoft.com/office/drawing/2014/main" id="{68DBB980-066E-4B09-92E8-0E8C142A6FFE}"/>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351977" y="5548179"/>
              <a:ext cx="1800691" cy="2444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251534</xdr:colOff>
      <xdr:row>15</xdr:row>
      <xdr:rowOff>110973</xdr:rowOff>
    </xdr:from>
    <xdr:to>
      <xdr:col>3</xdr:col>
      <xdr:colOff>260412</xdr:colOff>
      <xdr:row>25</xdr:row>
      <xdr:rowOff>22195</xdr:rowOff>
    </xdr:to>
    <mc:AlternateContent xmlns:mc="http://schemas.openxmlformats.org/markup-compatibility/2006" xmlns:a14="http://schemas.microsoft.com/office/drawing/2010/main">
      <mc:Choice Requires="a14">
        <xdr:graphicFrame macro="">
          <xdr:nvGraphicFramePr>
            <xdr:cNvPr id="13" name="Role 1">
              <a:extLst>
                <a:ext uri="{FF2B5EF4-FFF2-40B4-BE49-F238E27FC236}">
                  <a16:creationId xmlns:a16="http://schemas.microsoft.com/office/drawing/2014/main" id="{A1F604C8-418A-47A9-8026-AF5DE0BED451}"/>
                </a:ext>
              </a:extLst>
            </xdr:cNvPr>
            <xdr:cNvGraphicFramePr/>
          </xdr:nvGraphicFramePr>
          <xdr:xfrm>
            <a:off x="0" y="0"/>
            <a:ext cx="0" cy="0"/>
          </xdr:xfrm>
          <a:graphic>
            <a:graphicData uri="http://schemas.microsoft.com/office/drawing/2010/slicer">
              <sle:slicer xmlns:sle="http://schemas.microsoft.com/office/drawing/2010/slicer" name="Role 1"/>
            </a:graphicData>
          </a:graphic>
        </xdr:graphicFrame>
      </mc:Choice>
      <mc:Fallback xmlns="">
        <xdr:sp macro="" textlink="">
          <xdr:nvSpPr>
            <xdr:cNvPr id="0" name=""/>
            <xdr:cNvSpPr>
              <a:spLocks noTextEdit="1"/>
            </xdr:cNvSpPr>
          </xdr:nvSpPr>
          <xdr:spPr>
            <a:xfrm>
              <a:off x="251534" y="2894390"/>
              <a:ext cx="1850378" cy="1710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301514</xdr:colOff>
      <xdr:row>51</xdr:row>
      <xdr:rowOff>22286</xdr:rowOff>
    </xdr:from>
    <xdr:to>
      <xdr:col>3</xdr:col>
      <xdr:colOff>517584</xdr:colOff>
      <xdr:row>59</xdr:row>
      <xdr:rowOff>129396</xdr:rowOff>
    </xdr:to>
    <mc:AlternateContent xmlns:mc="http://schemas.openxmlformats.org/markup-compatibility/2006" xmlns:a14="http://schemas.microsoft.com/office/drawing/2010/main">
      <mc:Choice Requires="a14">
        <xdr:graphicFrame macro="">
          <xdr:nvGraphicFramePr>
            <xdr:cNvPr id="14" name="Performance_Rating 1">
              <a:extLst>
                <a:ext uri="{FF2B5EF4-FFF2-40B4-BE49-F238E27FC236}">
                  <a16:creationId xmlns:a16="http://schemas.microsoft.com/office/drawing/2014/main" id="{8EA0172B-0974-4D19-9794-6DEA15F1B632}"/>
                </a:ext>
              </a:extLst>
            </xdr:cNvPr>
            <xdr:cNvGraphicFramePr/>
          </xdr:nvGraphicFramePr>
          <xdr:xfrm>
            <a:off x="0" y="0"/>
            <a:ext cx="0" cy="0"/>
          </xdr:xfrm>
          <a:graphic>
            <a:graphicData uri="http://schemas.microsoft.com/office/drawing/2010/slicer">
              <sle:slicer xmlns:sle="http://schemas.microsoft.com/office/drawing/2010/slicer" name="Performance_Rating 1"/>
            </a:graphicData>
          </a:graphic>
        </xdr:graphicFrame>
      </mc:Choice>
      <mc:Fallback xmlns="">
        <xdr:sp macro="" textlink="">
          <xdr:nvSpPr>
            <xdr:cNvPr id="0" name=""/>
            <xdr:cNvSpPr>
              <a:spLocks noTextEdit="1"/>
            </xdr:cNvSpPr>
          </xdr:nvSpPr>
          <xdr:spPr>
            <a:xfrm>
              <a:off x="301514" y="9282703"/>
              <a:ext cx="2057570" cy="1546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295922</xdr:colOff>
      <xdr:row>15</xdr:row>
      <xdr:rowOff>22194</xdr:rowOff>
    </xdr:from>
    <xdr:to>
      <xdr:col>22</xdr:col>
      <xdr:colOff>304800</xdr:colOff>
      <xdr:row>21</xdr:row>
      <xdr:rowOff>162165</xdr:rowOff>
    </xdr:to>
    <mc:AlternateContent xmlns:mc="http://schemas.openxmlformats.org/markup-compatibility/2006" xmlns:a14="http://schemas.microsoft.com/office/drawing/2010/main">
      <mc:Choice Requires="a14">
        <xdr:graphicFrame macro="">
          <xdr:nvGraphicFramePr>
            <xdr:cNvPr id="15" name="Salary_Band 2">
              <a:extLst>
                <a:ext uri="{FF2B5EF4-FFF2-40B4-BE49-F238E27FC236}">
                  <a16:creationId xmlns:a16="http://schemas.microsoft.com/office/drawing/2014/main" id="{71542744-669C-43D0-80CF-AB82CFF6EA3D}"/>
                </a:ext>
              </a:extLst>
            </xdr:cNvPr>
            <xdr:cNvGraphicFramePr/>
          </xdr:nvGraphicFramePr>
          <xdr:xfrm>
            <a:off x="0" y="0"/>
            <a:ext cx="0" cy="0"/>
          </xdr:xfrm>
          <a:graphic>
            <a:graphicData uri="http://schemas.microsoft.com/office/drawing/2010/slicer">
              <sle:slicer xmlns:sle="http://schemas.microsoft.com/office/drawing/2010/slicer" name="Salary_Band 2"/>
            </a:graphicData>
          </a:graphic>
        </xdr:graphicFrame>
      </mc:Choice>
      <mc:Fallback xmlns="">
        <xdr:sp macro="" textlink="">
          <xdr:nvSpPr>
            <xdr:cNvPr id="0" name=""/>
            <xdr:cNvSpPr>
              <a:spLocks noTextEdit="1"/>
            </xdr:cNvSpPr>
          </xdr:nvSpPr>
          <xdr:spPr>
            <a:xfrm>
              <a:off x="11958755" y="2805611"/>
              <a:ext cx="1850378" cy="1219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502728</xdr:colOff>
      <xdr:row>32</xdr:row>
      <xdr:rowOff>120224</xdr:rowOff>
    </xdr:from>
    <xdr:to>
      <xdr:col>23</xdr:col>
      <xdr:colOff>273169</xdr:colOff>
      <xdr:row>40</xdr:row>
      <xdr:rowOff>0</xdr:rowOff>
    </xdr:to>
    <mc:AlternateContent xmlns:mc="http://schemas.openxmlformats.org/markup-compatibility/2006" xmlns:a14="http://schemas.microsoft.com/office/drawing/2010/main">
      <mc:Choice Requires="a14">
        <xdr:graphicFrame macro="">
          <xdr:nvGraphicFramePr>
            <xdr:cNvPr id="16" name="Exerience_category 1">
              <a:extLst>
                <a:ext uri="{FF2B5EF4-FFF2-40B4-BE49-F238E27FC236}">
                  <a16:creationId xmlns:a16="http://schemas.microsoft.com/office/drawing/2014/main" id="{42844772-9941-4E3C-9EEE-6961CB4414FA}"/>
                </a:ext>
              </a:extLst>
            </xdr:cNvPr>
            <xdr:cNvGraphicFramePr/>
          </xdr:nvGraphicFramePr>
          <xdr:xfrm>
            <a:off x="0" y="0"/>
            <a:ext cx="0" cy="0"/>
          </xdr:xfrm>
          <a:graphic>
            <a:graphicData uri="http://schemas.microsoft.com/office/drawing/2010/slicer">
              <sle:slicer xmlns:sle="http://schemas.microsoft.com/office/drawing/2010/slicer" name="Exerience_category 1"/>
            </a:graphicData>
          </a:graphic>
        </xdr:graphicFrame>
      </mc:Choice>
      <mc:Fallback xmlns="">
        <xdr:sp macro="" textlink="">
          <xdr:nvSpPr>
            <xdr:cNvPr id="0" name=""/>
            <xdr:cNvSpPr>
              <a:spLocks noTextEdit="1"/>
            </xdr:cNvSpPr>
          </xdr:nvSpPr>
          <xdr:spPr>
            <a:xfrm>
              <a:off x="12165561" y="5962224"/>
              <a:ext cx="2225775" cy="1319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118016</xdr:colOff>
      <xdr:row>30</xdr:row>
      <xdr:rowOff>42334</xdr:rowOff>
    </xdr:from>
    <xdr:to>
      <xdr:col>19</xdr:col>
      <xdr:colOff>339224</xdr:colOff>
      <xdr:row>46</xdr:row>
      <xdr:rowOff>9005</xdr:rowOff>
    </xdr:to>
    <xdr:graphicFrame macro="">
      <xdr:nvGraphicFramePr>
        <xdr:cNvPr id="19" name="Chart 18">
          <a:extLst>
            <a:ext uri="{FF2B5EF4-FFF2-40B4-BE49-F238E27FC236}">
              <a16:creationId xmlns:a16="http://schemas.microsoft.com/office/drawing/2014/main" id="{EA0457AF-AA13-46C9-BBD1-66EE4D3F6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467895</xdr:colOff>
      <xdr:row>9</xdr:row>
      <xdr:rowOff>1</xdr:rowOff>
    </xdr:from>
    <xdr:to>
      <xdr:col>18</xdr:col>
      <xdr:colOff>600807</xdr:colOff>
      <xdr:row>25</xdr:row>
      <xdr:rowOff>80210</xdr:rowOff>
    </xdr:to>
    <xdr:graphicFrame macro="">
      <xdr:nvGraphicFramePr>
        <xdr:cNvPr id="20" name="Chart 19">
          <a:extLst>
            <a:ext uri="{FF2B5EF4-FFF2-40B4-BE49-F238E27FC236}">
              <a16:creationId xmlns:a16="http://schemas.microsoft.com/office/drawing/2014/main" id="{E4234696-6E24-4492-8A46-81F4B67C5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143774</xdr:colOff>
      <xdr:row>50</xdr:row>
      <xdr:rowOff>173791</xdr:rowOff>
    </xdr:from>
    <xdr:to>
      <xdr:col>19</xdr:col>
      <xdr:colOff>402566</xdr:colOff>
      <xdr:row>67</xdr:row>
      <xdr:rowOff>86265</xdr:rowOff>
    </xdr:to>
    <xdr:graphicFrame macro="">
      <xdr:nvGraphicFramePr>
        <xdr:cNvPr id="21" name="Chart 20">
          <a:extLst>
            <a:ext uri="{FF2B5EF4-FFF2-40B4-BE49-F238E27FC236}">
              <a16:creationId xmlns:a16="http://schemas.microsoft.com/office/drawing/2014/main" id="{7540EA09-9BBA-4421-977E-0D3570022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129395</xdr:colOff>
      <xdr:row>51</xdr:row>
      <xdr:rowOff>43130</xdr:rowOff>
    </xdr:from>
    <xdr:to>
      <xdr:col>24</xdr:col>
      <xdr:colOff>28754</xdr:colOff>
      <xdr:row>67</xdr:row>
      <xdr:rowOff>14377</xdr:rowOff>
    </xdr:to>
    <mc:AlternateContent xmlns:mc="http://schemas.openxmlformats.org/markup-compatibility/2006" xmlns:a14="http://schemas.microsoft.com/office/drawing/2010/main">
      <mc:Choice Requires="a14">
        <xdr:graphicFrame macro="">
          <xdr:nvGraphicFramePr>
            <xdr:cNvPr id="22" name="Department 6">
              <a:extLst>
                <a:ext uri="{FF2B5EF4-FFF2-40B4-BE49-F238E27FC236}">
                  <a16:creationId xmlns:a16="http://schemas.microsoft.com/office/drawing/2014/main" id="{2FCD71B6-F193-4556-9D2A-143386C60E5A}"/>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mlns="">
        <xdr:sp macro="" textlink="">
          <xdr:nvSpPr>
            <xdr:cNvPr id="0" name=""/>
            <xdr:cNvSpPr>
              <a:spLocks noTextEdit="1"/>
            </xdr:cNvSpPr>
          </xdr:nvSpPr>
          <xdr:spPr>
            <a:xfrm>
              <a:off x="12406062" y="9303547"/>
              <a:ext cx="2354692" cy="2849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316301</xdr:colOff>
      <xdr:row>61</xdr:row>
      <xdr:rowOff>14378</xdr:rowOff>
    </xdr:from>
    <xdr:to>
      <xdr:col>3</xdr:col>
      <xdr:colOff>503207</xdr:colOff>
      <xdr:row>67</xdr:row>
      <xdr:rowOff>71887</xdr:rowOff>
    </xdr:to>
    <mc:AlternateContent xmlns:mc="http://schemas.openxmlformats.org/markup-compatibility/2006" xmlns:a14="http://schemas.microsoft.com/office/drawing/2010/main">
      <mc:Choice Requires="a14">
        <xdr:graphicFrame macro="">
          <xdr:nvGraphicFramePr>
            <xdr:cNvPr id="23" name="Gender 6">
              <a:extLst>
                <a:ext uri="{FF2B5EF4-FFF2-40B4-BE49-F238E27FC236}">
                  <a16:creationId xmlns:a16="http://schemas.microsoft.com/office/drawing/2014/main" id="{E8B08905-8174-4A42-9C60-979CC33CB463}"/>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316301" y="11073961"/>
              <a:ext cx="2028406" cy="1137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301926</xdr:colOff>
      <xdr:row>73</xdr:row>
      <xdr:rowOff>129397</xdr:rowOff>
    </xdr:from>
    <xdr:to>
      <xdr:col>24</xdr:col>
      <xdr:colOff>43132</xdr:colOff>
      <xdr:row>94</xdr:row>
      <xdr:rowOff>28755</xdr:rowOff>
    </xdr:to>
    <xdr:graphicFrame macro="">
      <xdr:nvGraphicFramePr>
        <xdr:cNvPr id="24" name="Chart 23">
          <a:extLst>
            <a:ext uri="{FF2B5EF4-FFF2-40B4-BE49-F238E27FC236}">
              <a16:creationId xmlns:a16="http://schemas.microsoft.com/office/drawing/2014/main" id="{995CCBA0-D42C-4834-91DC-E03F033C0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273169</xdr:colOff>
      <xdr:row>73</xdr:row>
      <xdr:rowOff>86264</xdr:rowOff>
    </xdr:from>
    <xdr:to>
      <xdr:col>4</xdr:col>
      <xdr:colOff>71887</xdr:colOff>
      <xdr:row>82</xdr:row>
      <xdr:rowOff>115019</xdr:rowOff>
    </xdr:to>
    <mc:AlternateContent xmlns:mc="http://schemas.openxmlformats.org/markup-compatibility/2006" xmlns:a14="http://schemas.microsoft.com/office/drawing/2010/main">
      <mc:Choice Requires="a14">
        <xdr:graphicFrame macro="">
          <xdr:nvGraphicFramePr>
            <xdr:cNvPr id="25" name="Exerience_category 2">
              <a:extLst>
                <a:ext uri="{FF2B5EF4-FFF2-40B4-BE49-F238E27FC236}">
                  <a16:creationId xmlns:a16="http://schemas.microsoft.com/office/drawing/2014/main" id="{4142FA40-79CA-4125-BCA2-986548BA33F0}"/>
                </a:ext>
              </a:extLst>
            </xdr:cNvPr>
            <xdr:cNvGraphicFramePr/>
          </xdr:nvGraphicFramePr>
          <xdr:xfrm>
            <a:off x="0" y="0"/>
            <a:ext cx="0" cy="0"/>
          </xdr:xfrm>
          <a:graphic>
            <a:graphicData uri="http://schemas.microsoft.com/office/drawing/2010/slicer">
              <sle:slicer xmlns:sle="http://schemas.microsoft.com/office/drawing/2010/slicer" name="Exerience_category 2"/>
            </a:graphicData>
          </a:graphic>
        </xdr:graphicFrame>
      </mc:Choice>
      <mc:Fallback xmlns="">
        <xdr:sp macro="" textlink="">
          <xdr:nvSpPr>
            <xdr:cNvPr id="0" name=""/>
            <xdr:cNvSpPr>
              <a:spLocks noTextEdit="1"/>
            </xdr:cNvSpPr>
          </xdr:nvSpPr>
          <xdr:spPr>
            <a:xfrm>
              <a:off x="273169" y="13304847"/>
              <a:ext cx="2254051" cy="1648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230038</xdr:colOff>
      <xdr:row>84</xdr:row>
      <xdr:rowOff>158150</xdr:rowOff>
    </xdr:from>
    <xdr:to>
      <xdr:col>4</xdr:col>
      <xdr:colOff>129395</xdr:colOff>
      <xdr:row>94</xdr:row>
      <xdr:rowOff>0</xdr:rowOff>
    </xdr:to>
    <mc:AlternateContent xmlns:mc="http://schemas.openxmlformats.org/markup-compatibility/2006" xmlns:a14="http://schemas.microsoft.com/office/drawing/2010/main">
      <mc:Choice Requires="a14">
        <xdr:graphicFrame macro="">
          <xdr:nvGraphicFramePr>
            <xdr:cNvPr id="26" name="Salary_Band 3">
              <a:extLst>
                <a:ext uri="{FF2B5EF4-FFF2-40B4-BE49-F238E27FC236}">
                  <a16:creationId xmlns:a16="http://schemas.microsoft.com/office/drawing/2014/main" id="{238F4FBD-2DC8-4868-8117-DBABBDCC60B8}"/>
                </a:ext>
              </a:extLst>
            </xdr:cNvPr>
            <xdr:cNvGraphicFramePr/>
          </xdr:nvGraphicFramePr>
          <xdr:xfrm>
            <a:off x="0" y="0"/>
            <a:ext cx="0" cy="0"/>
          </xdr:xfrm>
          <a:graphic>
            <a:graphicData uri="http://schemas.microsoft.com/office/drawing/2010/slicer">
              <sle:slicer xmlns:sle="http://schemas.microsoft.com/office/drawing/2010/slicer" name="Salary_Band 3"/>
            </a:graphicData>
          </a:graphic>
        </xdr:graphicFrame>
      </mc:Choice>
      <mc:Fallback xmlns="">
        <xdr:sp macro="" textlink="">
          <xdr:nvSpPr>
            <xdr:cNvPr id="0" name=""/>
            <xdr:cNvSpPr>
              <a:spLocks noTextEdit="1"/>
            </xdr:cNvSpPr>
          </xdr:nvSpPr>
          <xdr:spPr>
            <a:xfrm>
              <a:off x="230038" y="15355817"/>
              <a:ext cx="2354690" cy="1641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524933</xdr:colOff>
      <xdr:row>102</xdr:row>
      <xdr:rowOff>33867</xdr:rowOff>
    </xdr:from>
    <xdr:to>
      <xdr:col>25</xdr:col>
      <xdr:colOff>50800</xdr:colOff>
      <xdr:row>122</xdr:row>
      <xdr:rowOff>118534</xdr:rowOff>
    </xdr:to>
    <xdr:graphicFrame macro="">
      <xdr:nvGraphicFramePr>
        <xdr:cNvPr id="27" name="Chart 26">
          <a:extLst>
            <a:ext uri="{FF2B5EF4-FFF2-40B4-BE49-F238E27FC236}">
              <a16:creationId xmlns:a16="http://schemas.microsoft.com/office/drawing/2014/main" id="{E35784FF-264E-4B78-8B0D-5F59628D4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203200</xdr:colOff>
      <xdr:row>102</xdr:row>
      <xdr:rowOff>16932</xdr:rowOff>
    </xdr:from>
    <xdr:to>
      <xdr:col>4</xdr:col>
      <xdr:colOff>96807</xdr:colOff>
      <xdr:row>117</xdr:row>
      <xdr:rowOff>175084</xdr:rowOff>
    </xdr:to>
    <mc:AlternateContent xmlns:mc="http://schemas.openxmlformats.org/markup-compatibility/2006" xmlns:a14="http://schemas.microsoft.com/office/drawing/2010/main">
      <mc:Choice Requires="a14">
        <xdr:graphicFrame macro="">
          <xdr:nvGraphicFramePr>
            <xdr:cNvPr id="29" name="Department 7">
              <a:extLst>
                <a:ext uri="{FF2B5EF4-FFF2-40B4-BE49-F238E27FC236}">
                  <a16:creationId xmlns:a16="http://schemas.microsoft.com/office/drawing/2014/main" id="{CCC03286-BCD9-4DB5-8024-1DB9287425ED}"/>
                </a:ext>
              </a:extLst>
            </xdr:cNvPr>
            <xdr:cNvGraphicFramePr/>
          </xdr:nvGraphicFramePr>
          <xdr:xfrm>
            <a:off x="0" y="0"/>
            <a:ext cx="0" cy="0"/>
          </xdr:xfrm>
          <a:graphic>
            <a:graphicData uri="http://schemas.microsoft.com/office/drawing/2010/slicer">
              <sle:slicer xmlns:sle="http://schemas.microsoft.com/office/drawing/2010/slicer" name="Department 7"/>
            </a:graphicData>
          </a:graphic>
        </xdr:graphicFrame>
      </mc:Choice>
      <mc:Fallback xmlns="">
        <xdr:sp macro="" textlink="">
          <xdr:nvSpPr>
            <xdr:cNvPr id="0" name=""/>
            <xdr:cNvSpPr>
              <a:spLocks noTextEdit="1"/>
            </xdr:cNvSpPr>
          </xdr:nvSpPr>
          <xdr:spPr>
            <a:xfrm>
              <a:off x="203200" y="18453099"/>
              <a:ext cx="2348940" cy="2856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220133</xdr:colOff>
      <xdr:row>129</xdr:row>
      <xdr:rowOff>148166</xdr:rowOff>
    </xdr:from>
    <xdr:to>
      <xdr:col>20</xdr:col>
      <xdr:colOff>179916</xdr:colOff>
      <xdr:row>156</xdr:row>
      <xdr:rowOff>101600</xdr:rowOff>
    </xdr:to>
    <xdr:graphicFrame macro="">
      <xdr:nvGraphicFramePr>
        <xdr:cNvPr id="30" name="Chart 29">
          <a:extLst>
            <a:ext uri="{FF2B5EF4-FFF2-40B4-BE49-F238E27FC236}">
              <a16:creationId xmlns:a16="http://schemas.microsoft.com/office/drawing/2014/main" id="{C4D99DC4-A0AD-4206-A570-9FAF298ED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575734</xdr:colOff>
      <xdr:row>134</xdr:row>
      <xdr:rowOff>101599</xdr:rowOff>
    </xdr:from>
    <xdr:to>
      <xdr:col>26</xdr:col>
      <xdr:colOff>67734</xdr:colOff>
      <xdr:row>144</xdr:row>
      <xdr:rowOff>169333</xdr:rowOff>
    </xdr:to>
    <mc:AlternateContent xmlns:mc="http://schemas.openxmlformats.org/markup-compatibility/2006" xmlns:a14="http://schemas.microsoft.com/office/drawing/2010/main">
      <mc:Choice Requires="a14">
        <xdr:graphicFrame macro="">
          <xdr:nvGraphicFramePr>
            <xdr:cNvPr id="31" name="Salary_Band 4">
              <a:extLst>
                <a:ext uri="{FF2B5EF4-FFF2-40B4-BE49-F238E27FC236}">
                  <a16:creationId xmlns:a16="http://schemas.microsoft.com/office/drawing/2014/main" id="{E917C814-65D5-4D36-8179-5A7197918149}"/>
                </a:ext>
              </a:extLst>
            </xdr:cNvPr>
            <xdr:cNvGraphicFramePr/>
          </xdr:nvGraphicFramePr>
          <xdr:xfrm>
            <a:off x="0" y="0"/>
            <a:ext cx="0" cy="0"/>
          </xdr:xfrm>
          <a:graphic>
            <a:graphicData uri="http://schemas.microsoft.com/office/drawing/2010/slicer">
              <sle:slicer xmlns:sle="http://schemas.microsoft.com/office/drawing/2010/slicer" name="Salary_Band 4"/>
            </a:graphicData>
          </a:graphic>
        </xdr:graphicFrame>
      </mc:Choice>
      <mc:Fallback xmlns="">
        <xdr:sp macro="" textlink="">
          <xdr:nvSpPr>
            <xdr:cNvPr id="0" name=""/>
            <xdr:cNvSpPr>
              <a:spLocks noTextEdit="1"/>
            </xdr:cNvSpPr>
          </xdr:nvSpPr>
          <xdr:spPr>
            <a:xfrm>
              <a:off x="12852401" y="24295099"/>
              <a:ext cx="3175000" cy="1866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270933</xdr:colOff>
      <xdr:row>163</xdr:row>
      <xdr:rowOff>42333</xdr:rowOff>
    </xdr:from>
    <xdr:to>
      <xdr:col>8</xdr:col>
      <xdr:colOff>201083</xdr:colOff>
      <xdr:row>184</xdr:row>
      <xdr:rowOff>84666</xdr:rowOff>
    </xdr:to>
    <xdr:graphicFrame macro="">
      <xdr:nvGraphicFramePr>
        <xdr:cNvPr id="32" name="Chart 31">
          <a:extLst>
            <a:ext uri="{FF2B5EF4-FFF2-40B4-BE49-F238E27FC236}">
              <a16:creationId xmlns:a16="http://schemas.microsoft.com/office/drawing/2014/main" id="{28BBD203-61E0-4AFC-BD21-06A29BC11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575733</xdr:colOff>
      <xdr:row>163</xdr:row>
      <xdr:rowOff>84667</xdr:rowOff>
    </xdr:from>
    <xdr:to>
      <xdr:col>13</xdr:col>
      <xdr:colOff>539750</xdr:colOff>
      <xdr:row>179</xdr:row>
      <xdr:rowOff>152399</xdr:rowOff>
    </xdr:to>
    <mc:AlternateContent xmlns:mc="http://schemas.openxmlformats.org/markup-compatibility/2006" xmlns:a14="http://schemas.microsoft.com/office/drawing/2010/main">
      <mc:Choice Requires="a14">
        <xdr:graphicFrame macro="">
          <xdr:nvGraphicFramePr>
            <xdr:cNvPr id="33" name="Location 3">
              <a:extLst>
                <a:ext uri="{FF2B5EF4-FFF2-40B4-BE49-F238E27FC236}">
                  <a16:creationId xmlns:a16="http://schemas.microsoft.com/office/drawing/2014/main" id="{71A5C976-05E4-4D3B-9EC5-E7DACFA06AB8}"/>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mlns="">
        <xdr:sp macro="" textlink="">
          <xdr:nvSpPr>
            <xdr:cNvPr id="0" name=""/>
            <xdr:cNvSpPr>
              <a:spLocks noTextEdit="1"/>
            </xdr:cNvSpPr>
          </xdr:nvSpPr>
          <xdr:spPr>
            <a:xfrm>
              <a:off x="6100233" y="29495750"/>
              <a:ext cx="2419350" cy="294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203199</xdr:colOff>
      <xdr:row>163</xdr:row>
      <xdr:rowOff>84667</xdr:rowOff>
    </xdr:from>
    <xdr:to>
      <xdr:col>27</xdr:col>
      <xdr:colOff>349251</xdr:colOff>
      <xdr:row>184</xdr:row>
      <xdr:rowOff>50799</xdr:rowOff>
    </xdr:to>
    <xdr:graphicFrame macro="">
      <xdr:nvGraphicFramePr>
        <xdr:cNvPr id="34" name="Chart 33">
          <a:extLst>
            <a:ext uri="{FF2B5EF4-FFF2-40B4-BE49-F238E27FC236}">
              <a16:creationId xmlns:a16="http://schemas.microsoft.com/office/drawing/2014/main" id="{ECA5C629-3EEC-448A-AC80-A288186D3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10583</xdr:colOff>
      <xdr:row>191</xdr:row>
      <xdr:rowOff>76197</xdr:rowOff>
    </xdr:from>
    <xdr:to>
      <xdr:col>21</xdr:col>
      <xdr:colOff>27517</xdr:colOff>
      <xdr:row>214</xdr:row>
      <xdr:rowOff>76199</xdr:rowOff>
    </xdr:to>
    <xdr:graphicFrame macro="">
      <xdr:nvGraphicFramePr>
        <xdr:cNvPr id="35" name="Chart 34">
          <a:extLst>
            <a:ext uri="{FF2B5EF4-FFF2-40B4-BE49-F238E27FC236}">
              <a16:creationId xmlns:a16="http://schemas.microsoft.com/office/drawing/2014/main" id="{B55982D4-511C-4060-A56F-46D2A0A23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558801</xdr:colOff>
      <xdr:row>191</xdr:row>
      <xdr:rowOff>84668</xdr:rowOff>
    </xdr:from>
    <xdr:to>
      <xdr:col>5</xdr:col>
      <xdr:colOff>491067</xdr:colOff>
      <xdr:row>204</xdr:row>
      <xdr:rowOff>16933</xdr:rowOff>
    </xdr:to>
    <mc:AlternateContent xmlns:mc="http://schemas.openxmlformats.org/markup-compatibility/2006" xmlns:a14="http://schemas.microsoft.com/office/drawing/2010/main">
      <mc:Choice Requires="a14">
        <xdr:graphicFrame macro="">
          <xdr:nvGraphicFramePr>
            <xdr:cNvPr id="36" name="Department 8">
              <a:extLst>
                <a:ext uri="{FF2B5EF4-FFF2-40B4-BE49-F238E27FC236}">
                  <a16:creationId xmlns:a16="http://schemas.microsoft.com/office/drawing/2014/main" id="{154BE5FE-4D18-46F9-A92F-6D18F1394705}"/>
                </a:ext>
              </a:extLst>
            </xdr:cNvPr>
            <xdr:cNvGraphicFramePr/>
          </xdr:nvGraphicFramePr>
          <xdr:xfrm>
            <a:off x="0" y="0"/>
            <a:ext cx="0" cy="0"/>
          </xdr:xfrm>
          <a:graphic>
            <a:graphicData uri="http://schemas.microsoft.com/office/drawing/2010/slicer">
              <sle:slicer xmlns:sle="http://schemas.microsoft.com/office/drawing/2010/slicer" name="Department 8"/>
            </a:graphicData>
          </a:graphic>
        </xdr:graphicFrame>
      </mc:Choice>
      <mc:Fallback xmlns="">
        <xdr:sp macro="" textlink="">
          <xdr:nvSpPr>
            <xdr:cNvPr id="0" name=""/>
            <xdr:cNvSpPr>
              <a:spLocks noTextEdit="1"/>
            </xdr:cNvSpPr>
          </xdr:nvSpPr>
          <xdr:spPr>
            <a:xfrm>
              <a:off x="558801" y="34533418"/>
              <a:ext cx="3001433" cy="2271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186266</xdr:colOff>
      <xdr:row>194</xdr:row>
      <xdr:rowOff>84666</xdr:rowOff>
    </xdr:from>
    <xdr:to>
      <xdr:col>26</xdr:col>
      <xdr:colOff>575733</xdr:colOff>
      <xdr:row>200</xdr:row>
      <xdr:rowOff>118533</xdr:rowOff>
    </xdr:to>
    <mc:AlternateContent xmlns:mc="http://schemas.openxmlformats.org/markup-compatibility/2006" xmlns:a14="http://schemas.microsoft.com/office/drawing/2010/main">
      <mc:Choice Requires="a14">
        <xdr:graphicFrame macro="">
          <xdr:nvGraphicFramePr>
            <xdr:cNvPr id="37" name="Gender 7">
              <a:extLst>
                <a:ext uri="{FF2B5EF4-FFF2-40B4-BE49-F238E27FC236}">
                  <a16:creationId xmlns:a16="http://schemas.microsoft.com/office/drawing/2014/main" id="{0A7EF07D-7864-4094-8D55-F27416406348}"/>
                </a:ext>
              </a:extLst>
            </xdr:cNvPr>
            <xdr:cNvGraphicFramePr/>
          </xdr:nvGraphicFramePr>
          <xdr:xfrm>
            <a:off x="0" y="0"/>
            <a:ext cx="0" cy="0"/>
          </xdr:xfrm>
          <a:graphic>
            <a:graphicData uri="http://schemas.microsoft.com/office/drawing/2010/slicer">
              <sle:slicer xmlns:sle="http://schemas.microsoft.com/office/drawing/2010/slicer" name="Gender 7"/>
            </a:graphicData>
          </a:graphic>
        </xdr:graphicFrame>
      </mc:Choice>
      <mc:Fallback xmlns="">
        <xdr:sp macro="" textlink="">
          <xdr:nvSpPr>
            <xdr:cNvPr id="0" name=""/>
            <xdr:cNvSpPr>
              <a:spLocks noTextEdit="1"/>
            </xdr:cNvSpPr>
          </xdr:nvSpPr>
          <xdr:spPr>
            <a:xfrm>
              <a:off x="13690599" y="35073166"/>
              <a:ext cx="2844801" cy="1113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237067</xdr:colOff>
      <xdr:row>218</xdr:row>
      <xdr:rowOff>33867</xdr:rowOff>
    </xdr:from>
    <xdr:to>
      <xdr:col>27</xdr:col>
      <xdr:colOff>0</xdr:colOff>
      <xdr:row>236</xdr:row>
      <xdr:rowOff>16933</xdr:rowOff>
    </xdr:to>
    <mc:AlternateContent xmlns:mc="http://schemas.openxmlformats.org/markup-compatibility/2006" xmlns:a14="http://schemas.microsoft.com/office/drawing/2010/main">
      <mc:Choice Requires="a14">
        <xdr:graphicFrame macro="">
          <xdr:nvGraphicFramePr>
            <xdr:cNvPr id="38" name="Education 2">
              <a:extLst>
                <a:ext uri="{FF2B5EF4-FFF2-40B4-BE49-F238E27FC236}">
                  <a16:creationId xmlns:a16="http://schemas.microsoft.com/office/drawing/2014/main" id="{7D44EA81-BEBF-4DA2-8815-32A95391B1D6}"/>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mlns="">
        <xdr:sp macro="" textlink="">
          <xdr:nvSpPr>
            <xdr:cNvPr id="0" name=""/>
            <xdr:cNvSpPr>
              <a:spLocks noTextEdit="1"/>
            </xdr:cNvSpPr>
          </xdr:nvSpPr>
          <xdr:spPr>
            <a:xfrm>
              <a:off x="13741400" y="39340367"/>
              <a:ext cx="2832100" cy="3221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575733</xdr:colOff>
      <xdr:row>217</xdr:row>
      <xdr:rowOff>169334</xdr:rowOff>
    </xdr:from>
    <xdr:to>
      <xdr:col>21</xdr:col>
      <xdr:colOff>220133</xdr:colOff>
      <xdr:row>244</xdr:row>
      <xdr:rowOff>50799</xdr:rowOff>
    </xdr:to>
    <xdr:graphicFrame macro="">
      <xdr:nvGraphicFramePr>
        <xdr:cNvPr id="39" name="Chart 38">
          <a:extLst>
            <a:ext uri="{FF2B5EF4-FFF2-40B4-BE49-F238E27FC236}">
              <a16:creationId xmlns:a16="http://schemas.microsoft.com/office/drawing/2014/main" id="{1E1F6217-1C39-4DD1-8286-79379AC40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8.364033333331" createdVersion="8" refreshedVersion="8" minRefreshableVersion="3" recordCount="120" xr:uid="{C0DBB0F1-1A96-447C-99E7-79FD5239C165}">
  <cacheSource type="worksheet">
    <worksheetSource name="Table1"/>
  </cacheSource>
  <cacheFields count="22">
    <cacheField name="Emp_ID" numFmtId="0">
      <sharedItems containsSemiMixedTypes="0" containsString="0" containsNumber="1" containsInteger="1" minValue="1001" maxValue="1120" count="12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sharedItems>
    </cacheField>
    <cacheField name="Name" numFmtId="0">
      <sharedItems count="45">
        <s v="Karthik Iyer"/>
        <s v="Anjali Kumar"/>
        <s v="Karthik Reddy"/>
        <s v="Karthik Sharma"/>
        <s v="Sneha Sharma"/>
        <s v="Priya Sharma"/>
        <s v="Neha Singh"/>
        <s v="Anjali Reddy"/>
        <s v="Arun Iyer"/>
        <s v="Vikram Sharma"/>
        <s v="Rahul Kumar"/>
        <s v="Sneha Reddy"/>
        <s v="Arun Reddy"/>
        <s v="Divya Reddy"/>
        <s v="Neha Sharma"/>
        <s v="Anjali Singh"/>
        <s v="Arun Kumar"/>
        <s v="Sneha Iyer"/>
        <s v="Neha Iyer"/>
        <s v="Vikram Iyer"/>
        <s v="Priya Kumar"/>
        <s v="Sneha Singh"/>
        <s v="Divya Kumar"/>
        <s v="Rahul Reddy"/>
        <s v="Vikram Singh"/>
        <s v="Karthik Singh"/>
        <s v="Suresh Iyer"/>
        <s v="Suresh Kumar"/>
        <s v="Suresh Singh"/>
        <s v="Karthik Kumar"/>
        <s v="Priya Iyer"/>
        <s v="Divya Singh"/>
        <s v="Anjali Iyer"/>
        <s v="Anjali Sharma"/>
        <s v="Vikram Reddy"/>
        <s v="Neha Kumar"/>
        <s v="Rahul Singh"/>
        <s v="Rahul Sharma"/>
        <s v="Arun Singh"/>
        <s v="Priya Singh"/>
        <s v="Neha Reddy"/>
        <s v="Rahul Iyer"/>
        <s v="Suresh Sharma"/>
        <s v="Arun Sharma"/>
        <s v="Vikram Kumar"/>
      </sharedItems>
    </cacheField>
    <cacheField name="Department" numFmtId="0">
      <sharedItems count="6">
        <s v="Operations"/>
        <s v="IT"/>
        <s v="HR"/>
        <s v="Sales"/>
        <s v="Finance"/>
        <s v="Marketing"/>
      </sharedItems>
    </cacheField>
    <cacheField name="Role" numFmtId="0">
      <sharedItems count="5">
        <s v="Executive"/>
        <s v="Analyst"/>
        <s v="Manager"/>
        <s v="Engineer"/>
        <s v="Lead"/>
      </sharedItems>
    </cacheField>
    <cacheField name="Location" numFmtId="0">
      <sharedItems count="6">
        <s v="Pune"/>
        <s v="Bangalore"/>
        <s v="Mumbai"/>
        <s v="Chennai"/>
        <s v="Hyderabad"/>
        <s v="Delhi"/>
      </sharedItems>
    </cacheField>
    <cacheField name="Gender" numFmtId="0">
      <sharedItems count="2">
        <s v="Male"/>
        <s v="Female"/>
      </sharedItems>
    </cacheField>
    <cacheField name="Experience_Years" numFmtId="0">
      <sharedItems containsSemiMixedTypes="0" containsString="0" containsNumber="1" containsInteger="1" minValue="1" maxValue="10"/>
    </cacheField>
    <cacheField name="Education" numFmtId="0">
      <sharedItems count="5">
        <s v="B.Com"/>
        <s v="M.Sc"/>
        <s v="MBA"/>
        <s v="B.Tech"/>
        <s v="B.Sc"/>
      </sharedItems>
    </cacheField>
    <cacheField name="Base_Salary" numFmtId="0">
      <sharedItems containsSemiMixedTypes="0" containsString="0" containsNumber="1" containsInteger="1" minValue="30176" maxValue="89266"/>
    </cacheField>
    <cacheField name="Bonus" numFmtId="0">
      <sharedItems containsSemiMixedTypes="0" containsString="0" containsNumber="1" containsInteger="1" minValue="2051" maxValue="9918"/>
    </cacheField>
    <cacheField name="Overtime_Pay" numFmtId="0">
      <sharedItems containsSemiMixedTypes="0" containsString="0" containsNumber="1" containsInteger="1" minValue="546" maxValue="3980"/>
    </cacheField>
    <cacheField name="Allowances" numFmtId="0">
      <sharedItems containsSemiMixedTypes="0" containsString="0" containsNumber="1" containsInteger="1" minValue="1014" maxValue="5970"/>
    </cacheField>
    <cacheField name="Deductions" numFmtId="0">
      <sharedItems containsSemiMixedTypes="0" containsString="0" containsNumber="1" containsInteger="1" minValue="1016" maxValue="4989"/>
    </cacheField>
    <cacheField name="Tax" numFmtId="0">
      <sharedItems containsSemiMixedTypes="0" containsString="0" containsNumber="1" containsInteger="1" minValue="3017" maxValue="8926"/>
    </cacheField>
    <cacheField name="Net_Salary" numFmtId="0">
      <sharedItems containsSemiMixedTypes="0" containsString="0" containsNumber="1" containsInteger="1" minValue="33894" maxValue="92911" count="119">
        <n v="47034"/>
        <n v="51293"/>
        <n v="59454"/>
        <n v="41811"/>
        <n v="67958"/>
        <n v="45616"/>
        <n v="39138"/>
        <n v="69434"/>
        <n v="51151"/>
        <n v="68615"/>
        <n v="55785"/>
        <n v="74540"/>
        <n v="51355"/>
        <n v="36414"/>
        <n v="64564"/>
        <n v="35546"/>
        <n v="36131"/>
        <n v="79144"/>
        <n v="51303"/>
        <n v="52482"/>
        <n v="40757"/>
        <n v="59336"/>
        <n v="83762"/>
        <n v="37198"/>
        <n v="75297"/>
        <n v="58942"/>
        <n v="83665"/>
        <n v="57446"/>
        <n v="35870"/>
        <n v="55476"/>
        <n v="59790"/>
        <n v="66349"/>
        <n v="76081"/>
        <n v="66047"/>
        <n v="68932"/>
        <n v="61777"/>
        <n v="84996"/>
        <n v="59973"/>
        <n v="62414"/>
        <n v="39725"/>
        <n v="77417"/>
        <n v="72417"/>
        <n v="67410"/>
        <n v="87876"/>
        <n v="56323"/>
        <n v="69325"/>
        <n v="78931"/>
        <n v="72997"/>
        <n v="63766"/>
        <n v="90347"/>
        <n v="48949"/>
        <n v="75439"/>
        <n v="41966"/>
        <n v="51375"/>
        <n v="78007"/>
        <n v="49682"/>
        <n v="81733"/>
        <n v="40234"/>
        <n v="79197"/>
        <n v="80558"/>
        <n v="57419"/>
        <n v="90611"/>
        <n v="44723"/>
        <n v="51133"/>
        <n v="57349"/>
        <n v="72477"/>
        <n v="64475"/>
        <n v="45618"/>
        <n v="37321"/>
        <n v="72132"/>
        <n v="42051"/>
        <n v="48059"/>
        <n v="41429"/>
        <n v="57215"/>
        <n v="87996"/>
        <n v="59376"/>
        <n v="48923"/>
        <n v="77159"/>
        <n v="89242"/>
        <n v="36765"/>
        <n v="50168"/>
        <n v="56030"/>
        <n v="76609"/>
        <n v="48347"/>
        <n v="82067"/>
        <n v="79449"/>
        <n v="61504"/>
        <n v="50921"/>
        <n v="65899"/>
        <n v="56680"/>
        <n v="64993"/>
        <n v="74448"/>
        <n v="86867"/>
        <n v="92911"/>
        <n v="47820"/>
        <n v="65011"/>
        <n v="88595"/>
        <n v="68449"/>
        <n v="79370"/>
        <n v="58271"/>
        <n v="37081"/>
        <n v="74177"/>
        <n v="66130"/>
        <n v="67534"/>
        <n v="81047"/>
        <n v="44512"/>
        <n v="52985"/>
        <n v="54737"/>
        <n v="91560"/>
        <n v="47478"/>
        <n v="77506"/>
        <n v="56160"/>
        <n v="33894"/>
        <n v="69352"/>
        <n v="53753"/>
        <n v="88486"/>
        <n v="44430"/>
        <n v="72114"/>
        <n v="63899"/>
      </sharedItems>
    </cacheField>
    <cacheField name="Performance_Rating" numFmtId="0">
      <sharedItems containsSemiMixedTypes="0" containsString="0" containsNumber="1" containsInteger="1" minValue="2" maxValue="5" count="4">
        <n v="5"/>
        <n v="2"/>
        <n v="3"/>
        <n v="4"/>
      </sharedItems>
    </cacheField>
    <cacheField name="Projects_Handled" numFmtId="0">
      <sharedItems containsSemiMixedTypes="0" containsString="0" containsNumber="1" containsInteger="1" minValue="1" maxValue="10"/>
    </cacheField>
    <cacheField name="Leaves_Taken" numFmtId="0">
      <sharedItems containsSemiMixedTypes="0" containsString="0" containsNumber="1" containsInteger="1" minValue="0" maxValue="15"/>
    </cacheField>
    <cacheField name="Promotion_Last_Year" numFmtId="0">
      <sharedItems/>
    </cacheField>
    <cacheField name="Joining_Date" numFmtId="0">
      <sharedItems/>
    </cacheField>
    <cacheField name="Salary_Band" numFmtId="0">
      <sharedItems count="3">
        <s v="medium"/>
        <s v="low"/>
        <s v="high"/>
      </sharedItems>
    </cacheField>
    <cacheField name="Exerience_category" numFmtId="0">
      <sharedItems count="3">
        <s v="senior"/>
        <s v="junior"/>
        <s v="mid-level,"/>
      </sharedItems>
    </cacheField>
  </cacheFields>
  <extLst>
    <ext xmlns:x14="http://schemas.microsoft.com/office/spreadsheetml/2009/9/main" uri="{725AE2AE-9491-48be-B2B4-4EB974FC3084}">
      <x14:pivotCacheDefinition pivotCacheId="1908492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x v="0"/>
    <n v="8"/>
    <x v="0"/>
    <n v="40106"/>
    <n v="7248"/>
    <n v="979"/>
    <n v="4773"/>
    <n v="2062"/>
    <n v="4010"/>
    <x v="0"/>
    <x v="0"/>
    <n v="4"/>
    <n v="14"/>
    <s v="No"/>
    <s v="2015-02-26"/>
    <x v="0"/>
    <x v="0"/>
  </r>
  <r>
    <x v="1"/>
    <x v="1"/>
    <x v="0"/>
    <x v="1"/>
    <x v="1"/>
    <x v="0"/>
    <n v="1"/>
    <x v="1"/>
    <n v="45972"/>
    <n v="6044"/>
    <n v="3280"/>
    <n v="5515"/>
    <n v="4921"/>
    <n v="4597"/>
    <x v="1"/>
    <x v="1"/>
    <n v="1"/>
    <n v="6"/>
    <s v="No"/>
    <s v="2021-04-27"/>
    <x v="0"/>
    <x v="1"/>
  </r>
  <r>
    <x v="2"/>
    <x v="2"/>
    <x v="1"/>
    <x v="2"/>
    <x v="1"/>
    <x v="0"/>
    <n v="1"/>
    <x v="1"/>
    <n v="56585"/>
    <n v="4737"/>
    <n v="3532"/>
    <n v="4617"/>
    <n v="4359"/>
    <n v="5658"/>
    <x v="2"/>
    <x v="2"/>
    <n v="1"/>
    <n v="2"/>
    <s v="Yes"/>
    <s v="2019-03-13"/>
    <x v="0"/>
    <x v="1"/>
  </r>
  <r>
    <x v="3"/>
    <x v="3"/>
    <x v="2"/>
    <x v="1"/>
    <x v="1"/>
    <x v="1"/>
    <n v="2"/>
    <x v="0"/>
    <n v="38976"/>
    <n v="2051"/>
    <n v="1561"/>
    <n v="4739"/>
    <n v="1619"/>
    <n v="3897"/>
    <x v="3"/>
    <x v="2"/>
    <n v="6"/>
    <n v="7"/>
    <s v="No"/>
    <s v="2017-09-07"/>
    <x v="0"/>
    <x v="1"/>
  </r>
  <r>
    <x v="4"/>
    <x v="4"/>
    <x v="3"/>
    <x v="0"/>
    <x v="2"/>
    <x v="0"/>
    <n v="6"/>
    <x v="2"/>
    <n v="62697"/>
    <n v="8859"/>
    <n v="1268"/>
    <n v="4862"/>
    <n v="3459"/>
    <n v="6269"/>
    <x v="4"/>
    <x v="2"/>
    <n v="9"/>
    <n v="3"/>
    <s v="Yes"/>
    <s v="2017-05-24"/>
    <x v="0"/>
    <x v="2"/>
  </r>
  <r>
    <x v="5"/>
    <x v="5"/>
    <x v="4"/>
    <x v="0"/>
    <x v="3"/>
    <x v="0"/>
    <n v="5"/>
    <x v="3"/>
    <n v="43292"/>
    <n v="2433"/>
    <n v="2844"/>
    <n v="5138"/>
    <n v="3762"/>
    <n v="4329"/>
    <x v="5"/>
    <x v="0"/>
    <n v="10"/>
    <n v="2"/>
    <s v="No"/>
    <s v="2019-12-11"/>
    <x v="0"/>
    <x v="2"/>
  </r>
  <r>
    <x v="6"/>
    <x v="0"/>
    <x v="4"/>
    <x v="2"/>
    <x v="0"/>
    <x v="0"/>
    <n v="7"/>
    <x v="2"/>
    <n v="30494"/>
    <n v="3828"/>
    <n v="3514"/>
    <n v="5650"/>
    <n v="1299"/>
    <n v="3049"/>
    <x v="6"/>
    <x v="0"/>
    <n v="7"/>
    <n v="13"/>
    <s v="Yes"/>
    <s v="2015-11-01"/>
    <x v="1"/>
    <x v="0"/>
  </r>
  <r>
    <x v="7"/>
    <x v="6"/>
    <x v="4"/>
    <x v="0"/>
    <x v="1"/>
    <x v="1"/>
    <n v="1"/>
    <x v="1"/>
    <n v="67982"/>
    <n v="2767"/>
    <n v="3235"/>
    <n v="4652"/>
    <n v="2404"/>
    <n v="6798"/>
    <x v="7"/>
    <x v="2"/>
    <n v="1"/>
    <n v="6"/>
    <s v="Yes"/>
    <s v="2016-12-06"/>
    <x v="0"/>
    <x v="1"/>
  </r>
  <r>
    <x v="8"/>
    <x v="7"/>
    <x v="2"/>
    <x v="3"/>
    <x v="2"/>
    <x v="1"/>
    <n v="9"/>
    <x v="1"/>
    <n v="51132"/>
    <n v="3454"/>
    <n v="2295"/>
    <n v="2313"/>
    <n v="2930"/>
    <n v="5113"/>
    <x v="8"/>
    <x v="1"/>
    <n v="6"/>
    <n v="2"/>
    <s v="Yes"/>
    <s v="2016-06-18"/>
    <x v="0"/>
    <x v="0"/>
  </r>
  <r>
    <x v="9"/>
    <x v="8"/>
    <x v="5"/>
    <x v="2"/>
    <x v="1"/>
    <x v="1"/>
    <n v="10"/>
    <x v="1"/>
    <n v="71047"/>
    <n v="3673"/>
    <n v="1810"/>
    <n v="3901"/>
    <n v="4712"/>
    <n v="7104"/>
    <x v="9"/>
    <x v="3"/>
    <n v="4"/>
    <n v="14"/>
    <s v="Yes"/>
    <s v="2020-06-21"/>
    <x v="0"/>
    <x v="0"/>
  </r>
  <r>
    <x v="10"/>
    <x v="9"/>
    <x v="1"/>
    <x v="1"/>
    <x v="0"/>
    <x v="0"/>
    <n v="7"/>
    <x v="4"/>
    <n v="55073"/>
    <n v="6872"/>
    <n v="1999"/>
    <n v="2274"/>
    <n v="4926"/>
    <n v="5507"/>
    <x v="10"/>
    <x v="1"/>
    <n v="7"/>
    <n v="15"/>
    <s v="Yes"/>
    <s v="2017-12-04"/>
    <x v="0"/>
    <x v="0"/>
  </r>
  <r>
    <x v="11"/>
    <x v="10"/>
    <x v="1"/>
    <x v="0"/>
    <x v="2"/>
    <x v="0"/>
    <n v="5"/>
    <x v="2"/>
    <n v="73735"/>
    <n v="3686"/>
    <n v="2334"/>
    <n v="4138"/>
    <n v="1980"/>
    <n v="7373"/>
    <x v="11"/>
    <x v="3"/>
    <n v="8"/>
    <n v="3"/>
    <s v="No"/>
    <s v="2017-12-18"/>
    <x v="2"/>
    <x v="2"/>
  </r>
  <r>
    <x v="12"/>
    <x v="11"/>
    <x v="3"/>
    <x v="4"/>
    <x v="3"/>
    <x v="0"/>
    <n v="9"/>
    <x v="1"/>
    <n v="50205"/>
    <n v="7655"/>
    <n v="2027"/>
    <n v="1440"/>
    <n v="4952"/>
    <n v="5020"/>
    <x v="12"/>
    <x v="1"/>
    <n v="8"/>
    <n v="5"/>
    <s v="Yes"/>
    <s v="2022-05-22"/>
    <x v="0"/>
    <x v="0"/>
  </r>
  <r>
    <x v="13"/>
    <x v="12"/>
    <x v="1"/>
    <x v="3"/>
    <x v="2"/>
    <x v="0"/>
    <n v="7"/>
    <x v="3"/>
    <n v="37663"/>
    <n v="3160"/>
    <n v="2309"/>
    <n v="1640"/>
    <n v="4592"/>
    <n v="3766"/>
    <x v="13"/>
    <x v="0"/>
    <n v="1"/>
    <n v="4"/>
    <s v="Yes"/>
    <s v="2015-12-28"/>
    <x v="1"/>
    <x v="0"/>
  </r>
  <r>
    <x v="14"/>
    <x v="13"/>
    <x v="1"/>
    <x v="3"/>
    <x v="4"/>
    <x v="1"/>
    <n v="1"/>
    <x v="4"/>
    <n v="62523"/>
    <n v="5831"/>
    <n v="2285"/>
    <n v="4030"/>
    <n v="3853"/>
    <n v="6252"/>
    <x v="14"/>
    <x v="3"/>
    <n v="6"/>
    <n v="2"/>
    <s v="No"/>
    <s v="2019-02-25"/>
    <x v="0"/>
    <x v="1"/>
  </r>
  <r>
    <x v="15"/>
    <x v="14"/>
    <x v="5"/>
    <x v="0"/>
    <x v="0"/>
    <x v="0"/>
    <n v="6"/>
    <x v="0"/>
    <n v="30176"/>
    <n v="9254"/>
    <n v="1672"/>
    <n v="1159"/>
    <n v="3698"/>
    <n v="3017"/>
    <x v="15"/>
    <x v="1"/>
    <n v="1"/>
    <n v="13"/>
    <s v="Yes"/>
    <s v="2019-03-20"/>
    <x v="1"/>
    <x v="2"/>
  </r>
  <r>
    <x v="16"/>
    <x v="6"/>
    <x v="2"/>
    <x v="0"/>
    <x v="0"/>
    <x v="1"/>
    <n v="8"/>
    <x v="2"/>
    <n v="31583"/>
    <n v="3622"/>
    <n v="2076"/>
    <n v="5001"/>
    <n v="2993"/>
    <n v="3158"/>
    <x v="16"/>
    <x v="0"/>
    <n v="7"/>
    <n v="6"/>
    <s v="No"/>
    <s v="2019-04-01"/>
    <x v="1"/>
    <x v="0"/>
  </r>
  <r>
    <x v="17"/>
    <x v="15"/>
    <x v="5"/>
    <x v="0"/>
    <x v="2"/>
    <x v="0"/>
    <n v="4"/>
    <x v="2"/>
    <n v="75356"/>
    <n v="8531"/>
    <n v="1695"/>
    <n v="5705"/>
    <n v="4608"/>
    <n v="7535"/>
    <x v="17"/>
    <x v="2"/>
    <n v="7"/>
    <n v="1"/>
    <s v="No"/>
    <s v="2016-12-11"/>
    <x v="2"/>
    <x v="2"/>
  </r>
  <r>
    <x v="18"/>
    <x v="5"/>
    <x v="5"/>
    <x v="3"/>
    <x v="0"/>
    <x v="0"/>
    <n v="9"/>
    <x v="1"/>
    <n v="47675"/>
    <n v="3820"/>
    <n v="1055"/>
    <n v="4900"/>
    <n v="1380"/>
    <n v="4767"/>
    <x v="18"/>
    <x v="3"/>
    <n v="8"/>
    <n v="12"/>
    <s v="Yes"/>
    <s v="2023-06-24"/>
    <x v="0"/>
    <x v="0"/>
  </r>
  <r>
    <x v="19"/>
    <x v="14"/>
    <x v="2"/>
    <x v="2"/>
    <x v="4"/>
    <x v="1"/>
    <n v="8"/>
    <x v="3"/>
    <n v="49177"/>
    <n v="7872"/>
    <n v="1763"/>
    <n v="1014"/>
    <n v="2427"/>
    <n v="4917"/>
    <x v="19"/>
    <x v="2"/>
    <n v="6"/>
    <n v="2"/>
    <s v="No"/>
    <s v="2016-10-18"/>
    <x v="0"/>
    <x v="0"/>
  </r>
  <r>
    <x v="20"/>
    <x v="1"/>
    <x v="1"/>
    <x v="1"/>
    <x v="2"/>
    <x v="1"/>
    <n v="10"/>
    <x v="2"/>
    <n v="34157"/>
    <n v="7654"/>
    <n v="1288"/>
    <n v="4337"/>
    <n v="3264"/>
    <n v="3415"/>
    <x v="20"/>
    <x v="1"/>
    <n v="8"/>
    <n v="2"/>
    <s v="No"/>
    <s v="2019-06-07"/>
    <x v="0"/>
    <x v="0"/>
  </r>
  <r>
    <x v="21"/>
    <x v="16"/>
    <x v="0"/>
    <x v="1"/>
    <x v="5"/>
    <x v="0"/>
    <n v="10"/>
    <x v="0"/>
    <n v="57718"/>
    <n v="3735"/>
    <n v="1180"/>
    <n v="3623"/>
    <n v="1149"/>
    <n v="5771"/>
    <x v="21"/>
    <x v="2"/>
    <n v="4"/>
    <n v="4"/>
    <s v="No"/>
    <s v="2018-10-05"/>
    <x v="0"/>
    <x v="0"/>
  </r>
  <r>
    <x v="22"/>
    <x v="7"/>
    <x v="1"/>
    <x v="0"/>
    <x v="0"/>
    <x v="1"/>
    <n v="4"/>
    <x v="4"/>
    <n v="76832"/>
    <n v="8588"/>
    <n v="2836"/>
    <n v="5281"/>
    <n v="2092"/>
    <n v="7683"/>
    <x v="22"/>
    <x v="3"/>
    <n v="6"/>
    <n v="12"/>
    <s v="No"/>
    <s v="2019-03-08"/>
    <x v="2"/>
    <x v="2"/>
  </r>
  <r>
    <x v="23"/>
    <x v="0"/>
    <x v="0"/>
    <x v="3"/>
    <x v="1"/>
    <x v="1"/>
    <n v="1"/>
    <x v="3"/>
    <n v="32798"/>
    <n v="5204"/>
    <n v="2414"/>
    <n v="3690"/>
    <n v="3629"/>
    <n v="3279"/>
    <x v="23"/>
    <x v="1"/>
    <n v="3"/>
    <n v="6"/>
    <s v="No"/>
    <s v="2022-11-27"/>
    <x v="1"/>
    <x v="1"/>
  </r>
  <r>
    <x v="24"/>
    <x v="17"/>
    <x v="1"/>
    <x v="3"/>
    <x v="2"/>
    <x v="1"/>
    <n v="7"/>
    <x v="1"/>
    <n v="71400"/>
    <n v="5794"/>
    <n v="3526"/>
    <n v="3448"/>
    <n v="1731"/>
    <n v="7140"/>
    <x v="24"/>
    <x v="2"/>
    <n v="9"/>
    <n v="4"/>
    <s v="No"/>
    <s v="2023-10-04"/>
    <x v="2"/>
    <x v="0"/>
  </r>
  <r>
    <x v="25"/>
    <x v="18"/>
    <x v="0"/>
    <x v="3"/>
    <x v="2"/>
    <x v="0"/>
    <n v="10"/>
    <x v="4"/>
    <n v="52344"/>
    <n v="8105"/>
    <n v="584"/>
    <n v="5183"/>
    <n v="2040"/>
    <n v="5234"/>
    <x v="25"/>
    <x v="0"/>
    <n v="8"/>
    <n v="13"/>
    <s v="Yes"/>
    <s v="2020-04-26"/>
    <x v="0"/>
    <x v="0"/>
  </r>
  <r>
    <x v="26"/>
    <x v="0"/>
    <x v="2"/>
    <x v="3"/>
    <x v="1"/>
    <x v="1"/>
    <n v="3"/>
    <x v="1"/>
    <n v="77576"/>
    <n v="9357"/>
    <n v="3819"/>
    <n v="5179"/>
    <n v="4509"/>
    <n v="7757"/>
    <x v="26"/>
    <x v="0"/>
    <n v="6"/>
    <n v="8"/>
    <s v="No"/>
    <s v="2023-08-13"/>
    <x v="2"/>
    <x v="2"/>
  </r>
  <r>
    <x v="27"/>
    <x v="19"/>
    <x v="2"/>
    <x v="1"/>
    <x v="2"/>
    <x v="0"/>
    <n v="10"/>
    <x v="2"/>
    <n v="49123"/>
    <n v="9268"/>
    <n v="546"/>
    <n v="5606"/>
    <n v="2185"/>
    <n v="4912"/>
    <x v="27"/>
    <x v="2"/>
    <n v="3"/>
    <n v="2"/>
    <s v="Yes"/>
    <s v="2017-07-21"/>
    <x v="0"/>
    <x v="0"/>
  </r>
  <r>
    <x v="28"/>
    <x v="0"/>
    <x v="0"/>
    <x v="0"/>
    <x v="3"/>
    <x v="0"/>
    <n v="5"/>
    <x v="1"/>
    <n v="32401"/>
    <n v="3772"/>
    <n v="1053"/>
    <n v="5413"/>
    <n v="3529"/>
    <n v="3240"/>
    <x v="28"/>
    <x v="3"/>
    <n v="9"/>
    <n v="10"/>
    <s v="No"/>
    <s v="2020-05-20"/>
    <x v="1"/>
    <x v="2"/>
  </r>
  <r>
    <x v="29"/>
    <x v="20"/>
    <x v="5"/>
    <x v="2"/>
    <x v="5"/>
    <x v="0"/>
    <n v="10"/>
    <x v="1"/>
    <n v="54018"/>
    <n v="4182"/>
    <n v="2107"/>
    <n v="3064"/>
    <n v="2494"/>
    <n v="5401"/>
    <x v="29"/>
    <x v="0"/>
    <n v="5"/>
    <n v="14"/>
    <s v="Yes"/>
    <s v="2017-04-08"/>
    <x v="0"/>
    <x v="0"/>
  </r>
  <r>
    <x v="30"/>
    <x v="8"/>
    <x v="1"/>
    <x v="2"/>
    <x v="5"/>
    <x v="0"/>
    <n v="5"/>
    <x v="2"/>
    <n v="59322"/>
    <n v="6882"/>
    <n v="1702"/>
    <n v="1733"/>
    <n v="3917"/>
    <n v="5932"/>
    <x v="30"/>
    <x v="2"/>
    <n v="1"/>
    <n v="0"/>
    <s v="Yes"/>
    <s v="2019-06-05"/>
    <x v="0"/>
    <x v="2"/>
  </r>
  <r>
    <x v="31"/>
    <x v="21"/>
    <x v="0"/>
    <x v="2"/>
    <x v="4"/>
    <x v="1"/>
    <n v="4"/>
    <x v="4"/>
    <n v="63489"/>
    <n v="8910"/>
    <n v="1482"/>
    <n v="2538"/>
    <n v="3722"/>
    <n v="6348"/>
    <x v="31"/>
    <x v="2"/>
    <n v="7"/>
    <n v="13"/>
    <s v="No"/>
    <s v="2018-06-23"/>
    <x v="0"/>
    <x v="2"/>
  </r>
  <r>
    <x v="32"/>
    <x v="13"/>
    <x v="1"/>
    <x v="1"/>
    <x v="3"/>
    <x v="1"/>
    <n v="6"/>
    <x v="0"/>
    <n v="75854"/>
    <n v="3386"/>
    <n v="2262"/>
    <n v="4694"/>
    <n v="2530"/>
    <n v="7585"/>
    <x v="32"/>
    <x v="3"/>
    <n v="7"/>
    <n v="4"/>
    <s v="No"/>
    <s v="2020-08-11"/>
    <x v="2"/>
    <x v="2"/>
  </r>
  <r>
    <x v="33"/>
    <x v="22"/>
    <x v="4"/>
    <x v="2"/>
    <x v="1"/>
    <x v="1"/>
    <n v="3"/>
    <x v="2"/>
    <n v="60998"/>
    <n v="5690"/>
    <n v="2866"/>
    <n v="4683"/>
    <n v="2091"/>
    <n v="6099"/>
    <x v="33"/>
    <x v="0"/>
    <n v="8"/>
    <n v="1"/>
    <s v="No"/>
    <s v="2018-08-24"/>
    <x v="0"/>
    <x v="2"/>
  </r>
  <r>
    <x v="34"/>
    <x v="11"/>
    <x v="0"/>
    <x v="3"/>
    <x v="1"/>
    <x v="0"/>
    <n v="8"/>
    <x v="1"/>
    <n v="72704"/>
    <n v="4172"/>
    <n v="746"/>
    <n v="1925"/>
    <n v="3345"/>
    <n v="7270"/>
    <x v="34"/>
    <x v="0"/>
    <n v="7"/>
    <n v="7"/>
    <s v="No"/>
    <s v="2019-01-11"/>
    <x v="0"/>
    <x v="0"/>
  </r>
  <r>
    <x v="35"/>
    <x v="2"/>
    <x v="5"/>
    <x v="1"/>
    <x v="3"/>
    <x v="1"/>
    <n v="10"/>
    <x v="1"/>
    <n v="55820"/>
    <n v="6495"/>
    <n v="3679"/>
    <n v="2799"/>
    <n v="1434"/>
    <n v="5582"/>
    <x v="35"/>
    <x v="2"/>
    <n v="5"/>
    <n v="15"/>
    <s v="No"/>
    <s v="2021-10-18"/>
    <x v="0"/>
    <x v="0"/>
  </r>
  <r>
    <x v="36"/>
    <x v="10"/>
    <x v="1"/>
    <x v="2"/>
    <x v="5"/>
    <x v="0"/>
    <n v="9"/>
    <x v="2"/>
    <n v="89162"/>
    <n v="4321"/>
    <n v="2546"/>
    <n v="1627"/>
    <n v="3744"/>
    <n v="8916"/>
    <x v="36"/>
    <x v="2"/>
    <n v="8"/>
    <n v="8"/>
    <s v="Yes"/>
    <s v="2017-01-11"/>
    <x v="2"/>
    <x v="0"/>
  </r>
  <r>
    <x v="37"/>
    <x v="9"/>
    <x v="3"/>
    <x v="3"/>
    <x v="0"/>
    <x v="0"/>
    <n v="5"/>
    <x v="0"/>
    <n v="57482"/>
    <n v="5313"/>
    <n v="3219"/>
    <n v="4592"/>
    <n v="4885"/>
    <n v="5748"/>
    <x v="37"/>
    <x v="1"/>
    <n v="10"/>
    <n v="10"/>
    <s v="No"/>
    <s v="2015-05-13"/>
    <x v="0"/>
    <x v="2"/>
  </r>
  <r>
    <x v="38"/>
    <x v="23"/>
    <x v="1"/>
    <x v="3"/>
    <x v="1"/>
    <x v="0"/>
    <n v="1"/>
    <x v="0"/>
    <n v="57721"/>
    <n v="6494"/>
    <n v="1941"/>
    <n v="4590"/>
    <n v="2560"/>
    <n v="5772"/>
    <x v="38"/>
    <x v="3"/>
    <n v="7"/>
    <n v="13"/>
    <s v="Yes"/>
    <s v="2017-10-06"/>
    <x v="0"/>
    <x v="1"/>
  </r>
  <r>
    <x v="39"/>
    <x v="24"/>
    <x v="2"/>
    <x v="2"/>
    <x v="5"/>
    <x v="0"/>
    <n v="5"/>
    <x v="0"/>
    <n v="35856"/>
    <n v="5919"/>
    <n v="3978"/>
    <n v="1206"/>
    <n v="3649"/>
    <n v="3585"/>
    <x v="39"/>
    <x v="0"/>
    <n v="7"/>
    <n v="0"/>
    <s v="Yes"/>
    <s v="2015-06-01"/>
    <x v="1"/>
    <x v="2"/>
  </r>
  <r>
    <x v="40"/>
    <x v="25"/>
    <x v="0"/>
    <x v="3"/>
    <x v="0"/>
    <x v="0"/>
    <n v="4"/>
    <x v="0"/>
    <n v="76440"/>
    <n v="6696"/>
    <n v="1215"/>
    <n v="2654"/>
    <n v="1944"/>
    <n v="7644"/>
    <x v="40"/>
    <x v="1"/>
    <n v="7"/>
    <n v="10"/>
    <s v="Yes"/>
    <s v="2016-08-24"/>
    <x v="2"/>
    <x v="2"/>
  </r>
  <r>
    <x v="41"/>
    <x v="26"/>
    <x v="0"/>
    <x v="0"/>
    <x v="0"/>
    <x v="1"/>
    <n v="4"/>
    <x v="4"/>
    <n v="72060"/>
    <n v="7703"/>
    <n v="2701"/>
    <n v="1417"/>
    <n v="4258"/>
    <n v="7206"/>
    <x v="41"/>
    <x v="1"/>
    <n v="9"/>
    <n v="1"/>
    <s v="No"/>
    <s v="2022-04-21"/>
    <x v="2"/>
    <x v="2"/>
  </r>
  <r>
    <x v="42"/>
    <x v="27"/>
    <x v="4"/>
    <x v="1"/>
    <x v="1"/>
    <x v="0"/>
    <n v="4"/>
    <x v="1"/>
    <n v="61877"/>
    <n v="8199"/>
    <n v="1166"/>
    <n v="4756"/>
    <n v="2401"/>
    <n v="6187"/>
    <x v="42"/>
    <x v="1"/>
    <n v="2"/>
    <n v="5"/>
    <s v="No"/>
    <s v="2023-05-14"/>
    <x v="0"/>
    <x v="2"/>
  </r>
  <r>
    <x v="43"/>
    <x v="28"/>
    <x v="3"/>
    <x v="3"/>
    <x v="2"/>
    <x v="0"/>
    <n v="6"/>
    <x v="3"/>
    <n v="85513"/>
    <n v="4522"/>
    <n v="3804"/>
    <n v="5316"/>
    <n v="2728"/>
    <n v="8551"/>
    <x v="43"/>
    <x v="3"/>
    <n v="7"/>
    <n v="12"/>
    <s v="No"/>
    <s v="2020-06-18"/>
    <x v="2"/>
    <x v="2"/>
  </r>
  <r>
    <x v="44"/>
    <x v="29"/>
    <x v="5"/>
    <x v="1"/>
    <x v="2"/>
    <x v="1"/>
    <n v="4"/>
    <x v="3"/>
    <n v="59231"/>
    <n v="2759"/>
    <n v="2475"/>
    <n v="1434"/>
    <n v="3653"/>
    <n v="5923"/>
    <x v="44"/>
    <x v="0"/>
    <n v="8"/>
    <n v="10"/>
    <s v="Yes"/>
    <s v="2015-07-06"/>
    <x v="0"/>
    <x v="2"/>
  </r>
  <r>
    <x v="45"/>
    <x v="2"/>
    <x v="1"/>
    <x v="0"/>
    <x v="5"/>
    <x v="0"/>
    <n v="5"/>
    <x v="3"/>
    <n v="59951"/>
    <n v="9843"/>
    <n v="3368"/>
    <n v="3984"/>
    <n v="1826"/>
    <n v="5995"/>
    <x v="45"/>
    <x v="1"/>
    <n v="5"/>
    <n v="5"/>
    <s v="No"/>
    <s v="2018-05-25"/>
    <x v="0"/>
    <x v="2"/>
  </r>
  <r>
    <x v="46"/>
    <x v="7"/>
    <x v="3"/>
    <x v="2"/>
    <x v="0"/>
    <x v="0"/>
    <n v="3"/>
    <x v="3"/>
    <n v="79455"/>
    <n v="4574"/>
    <n v="3665"/>
    <n v="1726"/>
    <n v="2544"/>
    <n v="7945"/>
    <x v="46"/>
    <x v="2"/>
    <n v="2"/>
    <n v="12"/>
    <s v="No"/>
    <s v="2022-12-21"/>
    <x v="2"/>
    <x v="2"/>
  </r>
  <r>
    <x v="47"/>
    <x v="30"/>
    <x v="5"/>
    <x v="1"/>
    <x v="5"/>
    <x v="1"/>
    <n v="3"/>
    <x v="0"/>
    <n v="69863"/>
    <n v="8074"/>
    <n v="3057"/>
    <n v="2522"/>
    <n v="3533"/>
    <n v="6986"/>
    <x v="47"/>
    <x v="1"/>
    <n v="3"/>
    <n v="7"/>
    <s v="Yes"/>
    <s v="2016-02-10"/>
    <x v="2"/>
    <x v="2"/>
  </r>
  <r>
    <x v="48"/>
    <x v="4"/>
    <x v="0"/>
    <x v="1"/>
    <x v="3"/>
    <x v="1"/>
    <n v="6"/>
    <x v="3"/>
    <n v="63770"/>
    <n v="6163"/>
    <n v="1686"/>
    <n v="3460"/>
    <n v="4936"/>
    <n v="6377"/>
    <x v="48"/>
    <x v="2"/>
    <n v="1"/>
    <n v="2"/>
    <s v="Yes"/>
    <s v="2020-07-06"/>
    <x v="0"/>
    <x v="2"/>
  </r>
  <r>
    <x v="49"/>
    <x v="31"/>
    <x v="1"/>
    <x v="3"/>
    <x v="4"/>
    <x v="1"/>
    <n v="9"/>
    <x v="3"/>
    <n v="84725"/>
    <n v="9258"/>
    <n v="828"/>
    <n v="5629"/>
    <n v="1621"/>
    <n v="8472"/>
    <x v="49"/>
    <x v="0"/>
    <n v="10"/>
    <n v="1"/>
    <s v="Yes"/>
    <s v="2021-01-13"/>
    <x v="2"/>
    <x v="0"/>
  </r>
  <r>
    <x v="50"/>
    <x v="26"/>
    <x v="3"/>
    <x v="4"/>
    <x v="0"/>
    <x v="1"/>
    <n v="5"/>
    <x v="4"/>
    <n v="46719"/>
    <n v="6746"/>
    <n v="2824"/>
    <n v="1398"/>
    <n v="4067"/>
    <n v="4671"/>
    <x v="50"/>
    <x v="1"/>
    <n v="2"/>
    <n v="14"/>
    <s v="No"/>
    <s v="2023-12-27"/>
    <x v="0"/>
    <x v="2"/>
  </r>
  <r>
    <x v="51"/>
    <x v="20"/>
    <x v="5"/>
    <x v="0"/>
    <x v="2"/>
    <x v="0"/>
    <n v="9"/>
    <x v="3"/>
    <n v="78193"/>
    <n v="4401"/>
    <n v="2310"/>
    <n v="2905"/>
    <n v="4551"/>
    <n v="7819"/>
    <x v="51"/>
    <x v="3"/>
    <n v="6"/>
    <n v="15"/>
    <s v="Yes"/>
    <s v="2019-08-27"/>
    <x v="2"/>
    <x v="0"/>
  </r>
  <r>
    <x v="52"/>
    <x v="27"/>
    <x v="0"/>
    <x v="4"/>
    <x v="4"/>
    <x v="0"/>
    <n v="7"/>
    <x v="2"/>
    <n v="36590"/>
    <n v="6706"/>
    <n v="1323"/>
    <n v="5529"/>
    <n v="4523"/>
    <n v="3659"/>
    <x v="52"/>
    <x v="3"/>
    <n v="5"/>
    <n v="13"/>
    <s v="Yes"/>
    <s v="2018-08-09"/>
    <x v="0"/>
    <x v="0"/>
  </r>
  <r>
    <x v="53"/>
    <x v="18"/>
    <x v="1"/>
    <x v="2"/>
    <x v="2"/>
    <x v="1"/>
    <n v="8"/>
    <x v="1"/>
    <n v="45946"/>
    <n v="6329"/>
    <n v="1423"/>
    <n v="5182"/>
    <n v="2911"/>
    <n v="4594"/>
    <x v="53"/>
    <x v="1"/>
    <n v="3"/>
    <n v="12"/>
    <s v="Yes"/>
    <s v="2022-09-04"/>
    <x v="0"/>
    <x v="0"/>
  </r>
  <r>
    <x v="54"/>
    <x v="32"/>
    <x v="5"/>
    <x v="3"/>
    <x v="3"/>
    <x v="1"/>
    <n v="4"/>
    <x v="1"/>
    <n v="76916"/>
    <n v="8730"/>
    <n v="1235"/>
    <n v="3190"/>
    <n v="4373"/>
    <n v="7691"/>
    <x v="54"/>
    <x v="0"/>
    <n v="9"/>
    <n v="4"/>
    <s v="Yes"/>
    <s v="2021-06-01"/>
    <x v="2"/>
    <x v="2"/>
  </r>
  <r>
    <x v="55"/>
    <x v="27"/>
    <x v="1"/>
    <x v="4"/>
    <x v="3"/>
    <x v="0"/>
    <n v="4"/>
    <x v="2"/>
    <n v="46889"/>
    <n v="4154"/>
    <n v="2633"/>
    <n v="2539"/>
    <n v="1845"/>
    <n v="4688"/>
    <x v="55"/>
    <x v="2"/>
    <n v="9"/>
    <n v="9"/>
    <s v="Yes"/>
    <s v="2021-06-18"/>
    <x v="0"/>
    <x v="2"/>
  </r>
  <r>
    <x v="56"/>
    <x v="23"/>
    <x v="2"/>
    <x v="1"/>
    <x v="5"/>
    <x v="1"/>
    <n v="6"/>
    <x v="4"/>
    <n v="86004"/>
    <n v="3390"/>
    <n v="2031"/>
    <n v="2176"/>
    <n v="3268"/>
    <n v="8600"/>
    <x v="56"/>
    <x v="2"/>
    <n v="10"/>
    <n v="8"/>
    <s v="Yes"/>
    <s v="2017-05-25"/>
    <x v="2"/>
    <x v="2"/>
  </r>
  <r>
    <x v="57"/>
    <x v="33"/>
    <x v="4"/>
    <x v="1"/>
    <x v="0"/>
    <x v="1"/>
    <n v="8"/>
    <x v="0"/>
    <n v="34093"/>
    <n v="2906"/>
    <n v="3175"/>
    <n v="5928"/>
    <n v="2459"/>
    <n v="3409"/>
    <x v="57"/>
    <x v="3"/>
    <n v="10"/>
    <n v="15"/>
    <s v="No"/>
    <s v="2019-09-06"/>
    <x v="0"/>
    <x v="0"/>
  </r>
  <r>
    <x v="58"/>
    <x v="34"/>
    <x v="5"/>
    <x v="0"/>
    <x v="3"/>
    <x v="0"/>
    <n v="10"/>
    <x v="1"/>
    <n v="79641"/>
    <n v="4284"/>
    <n v="1051"/>
    <n v="4332"/>
    <n v="2147"/>
    <n v="7964"/>
    <x v="58"/>
    <x v="1"/>
    <n v="9"/>
    <n v="15"/>
    <s v="Yes"/>
    <s v="2015-09-07"/>
    <x v="2"/>
    <x v="0"/>
  </r>
  <r>
    <x v="59"/>
    <x v="1"/>
    <x v="0"/>
    <x v="1"/>
    <x v="2"/>
    <x v="0"/>
    <n v="10"/>
    <x v="1"/>
    <n v="80712"/>
    <n v="3530"/>
    <n v="3980"/>
    <n v="3623"/>
    <n v="3216"/>
    <n v="8071"/>
    <x v="59"/>
    <x v="3"/>
    <n v="4"/>
    <n v="11"/>
    <s v="Yes"/>
    <s v="2021-01-27"/>
    <x v="2"/>
    <x v="0"/>
  </r>
  <r>
    <x v="60"/>
    <x v="35"/>
    <x v="5"/>
    <x v="0"/>
    <x v="4"/>
    <x v="1"/>
    <n v="8"/>
    <x v="3"/>
    <n v="57010"/>
    <n v="2481"/>
    <n v="3873"/>
    <n v="1720"/>
    <n v="1964"/>
    <n v="5701"/>
    <x v="60"/>
    <x v="2"/>
    <n v="1"/>
    <n v="11"/>
    <s v="No"/>
    <s v="2020-03-10"/>
    <x v="0"/>
    <x v="0"/>
  </r>
  <r>
    <x v="61"/>
    <x v="36"/>
    <x v="0"/>
    <x v="3"/>
    <x v="5"/>
    <x v="0"/>
    <n v="3"/>
    <x v="2"/>
    <n v="88876"/>
    <n v="6886"/>
    <n v="3685"/>
    <n v="2027"/>
    <n v="1976"/>
    <n v="8887"/>
    <x v="61"/>
    <x v="3"/>
    <n v="6"/>
    <n v="4"/>
    <s v="Yes"/>
    <s v="2017-10-24"/>
    <x v="2"/>
    <x v="2"/>
  </r>
  <r>
    <x v="62"/>
    <x v="37"/>
    <x v="4"/>
    <x v="4"/>
    <x v="0"/>
    <x v="0"/>
    <n v="5"/>
    <x v="0"/>
    <n v="42270"/>
    <n v="4409"/>
    <n v="2158"/>
    <n v="2525"/>
    <n v="2412"/>
    <n v="4227"/>
    <x v="62"/>
    <x v="2"/>
    <n v="2"/>
    <n v="14"/>
    <s v="Yes"/>
    <s v="2016-01-05"/>
    <x v="0"/>
    <x v="2"/>
  </r>
  <r>
    <x v="63"/>
    <x v="16"/>
    <x v="1"/>
    <x v="0"/>
    <x v="3"/>
    <x v="1"/>
    <n v="9"/>
    <x v="1"/>
    <n v="54296"/>
    <n v="2530"/>
    <n v="1237"/>
    <n v="1315"/>
    <n v="2816"/>
    <n v="5429"/>
    <x v="63"/>
    <x v="3"/>
    <n v="4"/>
    <n v="5"/>
    <s v="No"/>
    <s v="2016-07-01"/>
    <x v="0"/>
    <x v="0"/>
  </r>
  <r>
    <x v="64"/>
    <x v="24"/>
    <x v="2"/>
    <x v="2"/>
    <x v="0"/>
    <x v="0"/>
    <n v="8"/>
    <x v="0"/>
    <n v="52046"/>
    <n v="6289"/>
    <n v="1438"/>
    <n v="5046"/>
    <n v="2266"/>
    <n v="5204"/>
    <x v="64"/>
    <x v="2"/>
    <n v="2"/>
    <n v="2"/>
    <s v="Yes"/>
    <s v="2022-02-09"/>
    <x v="0"/>
    <x v="0"/>
  </r>
  <r>
    <x v="65"/>
    <x v="38"/>
    <x v="4"/>
    <x v="0"/>
    <x v="3"/>
    <x v="0"/>
    <n v="3"/>
    <x v="0"/>
    <n v="73796"/>
    <n v="3350"/>
    <n v="1701"/>
    <n v="4477"/>
    <n v="3468"/>
    <n v="7379"/>
    <x v="65"/>
    <x v="2"/>
    <n v="2"/>
    <n v="3"/>
    <s v="No"/>
    <s v="2022-04-12"/>
    <x v="2"/>
    <x v="2"/>
  </r>
  <r>
    <x v="66"/>
    <x v="18"/>
    <x v="3"/>
    <x v="1"/>
    <x v="3"/>
    <x v="0"/>
    <n v="1"/>
    <x v="2"/>
    <n v="62105"/>
    <n v="6266"/>
    <n v="707"/>
    <n v="4412"/>
    <n v="2805"/>
    <n v="6210"/>
    <x v="66"/>
    <x v="3"/>
    <n v="4"/>
    <n v="6"/>
    <s v="Yes"/>
    <s v="2023-11-09"/>
    <x v="0"/>
    <x v="1"/>
  </r>
  <r>
    <x v="67"/>
    <x v="30"/>
    <x v="2"/>
    <x v="3"/>
    <x v="5"/>
    <x v="0"/>
    <n v="3"/>
    <x v="1"/>
    <n v="44957"/>
    <n v="4154"/>
    <n v="1665"/>
    <n v="2148"/>
    <n v="2811"/>
    <n v="4495"/>
    <x v="67"/>
    <x v="1"/>
    <n v="7"/>
    <n v="5"/>
    <s v="Yes"/>
    <s v="2021-03-15"/>
    <x v="0"/>
    <x v="2"/>
  </r>
  <r>
    <x v="68"/>
    <x v="39"/>
    <x v="0"/>
    <x v="1"/>
    <x v="4"/>
    <x v="1"/>
    <n v="6"/>
    <x v="4"/>
    <n v="36171"/>
    <n v="4648"/>
    <n v="735"/>
    <n v="4298"/>
    <n v="4914"/>
    <n v="3617"/>
    <x v="68"/>
    <x v="1"/>
    <n v="7"/>
    <n v="2"/>
    <s v="Yes"/>
    <s v="2020-05-12"/>
    <x v="1"/>
    <x v="2"/>
  </r>
  <r>
    <x v="69"/>
    <x v="17"/>
    <x v="2"/>
    <x v="0"/>
    <x v="2"/>
    <x v="1"/>
    <n v="5"/>
    <x v="4"/>
    <n v="66227"/>
    <n v="9089"/>
    <n v="1686"/>
    <n v="3050"/>
    <n v="1298"/>
    <n v="6622"/>
    <x v="69"/>
    <x v="0"/>
    <n v="3"/>
    <n v="7"/>
    <s v="Yes"/>
    <s v="2018-09-14"/>
    <x v="2"/>
    <x v="2"/>
  </r>
  <r>
    <x v="70"/>
    <x v="15"/>
    <x v="0"/>
    <x v="4"/>
    <x v="5"/>
    <x v="1"/>
    <n v="1"/>
    <x v="2"/>
    <n v="33393"/>
    <n v="8499"/>
    <n v="3509"/>
    <n v="1982"/>
    <n v="1993"/>
    <n v="3339"/>
    <x v="70"/>
    <x v="0"/>
    <n v="5"/>
    <n v="8"/>
    <s v="Yes"/>
    <s v="2015-01-24"/>
    <x v="0"/>
    <x v="1"/>
  </r>
  <r>
    <x v="71"/>
    <x v="1"/>
    <x v="4"/>
    <x v="0"/>
    <x v="3"/>
    <x v="1"/>
    <n v="10"/>
    <x v="0"/>
    <n v="46665"/>
    <n v="6697"/>
    <n v="997"/>
    <n v="3349"/>
    <n v="4983"/>
    <n v="4666"/>
    <x v="71"/>
    <x v="2"/>
    <n v="10"/>
    <n v="5"/>
    <s v="Yes"/>
    <s v="2016-07-23"/>
    <x v="0"/>
    <x v="0"/>
  </r>
  <r>
    <x v="72"/>
    <x v="14"/>
    <x v="3"/>
    <x v="1"/>
    <x v="0"/>
    <x v="1"/>
    <n v="2"/>
    <x v="3"/>
    <n v="36616"/>
    <n v="7385"/>
    <n v="1070"/>
    <n v="1219"/>
    <n v="1200"/>
    <n v="3661"/>
    <x v="72"/>
    <x v="2"/>
    <n v="4"/>
    <n v="15"/>
    <s v="Yes"/>
    <s v="2021-12-23"/>
    <x v="0"/>
    <x v="1"/>
  </r>
  <r>
    <x v="73"/>
    <x v="37"/>
    <x v="2"/>
    <x v="4"/>
    <x v="0"/>
    <x v="1"/>
    <n v="8"/>
    <x v="2"/>
    <n v="53721"/>
    <n v="8320"/>
    <n v="1023"/>
    <n v="1185"/>
    <n v="1662"/>
    <n v="5372"/>
    <x v="73"/>
    <x v="1"/>
    <n v="3"/>
    <n v="7"/>
    <s v="Yes"/>
    <s v="2017-04-24"/>
    <x v="0"/>
    <x v="0"/>
  </r>
  <r>
    <x v="74"/>
    <x v="31"/>
    <x v="5"/>
    <x v="4"/>
    <x v="1"/>
    <x v="1"/>
    <n v="7"/>
    <x v="3"/>
    <n v="85841"/>
    <n v="6854"/>
    <n v="3331"/>
    <n v="4078"/>
    <n v="3524"/>
    <n v="8584"/>
    <x v="74"/>
    <x v="0"/>
    <n v="10"/>
    <n v="11"/>
    <s v="No"/>
    <s v="2023-10-27"/>
    <x v="2"/>
    <x v="0"/>
  </r>
  <r>
    <x v="75"/>
    <x v="17"/>
    <x v="3"/>
    <x v="2"/>
    <x v="4"/>
    <x v="0"/>
    <n v="7"/>
    <x v="2"/>
    <n v="59932"/>
    <n v="2330"/>
    <n v="3612"/>
    <n v="4328"/>
    <n v="4833"/>
    <n v="5993"/>
    <x v="75"/>
    <x v="3"/>
    <n v="6"/>
    <n v="0"/>
    <s v="No"/>
    <s v="2018-08-17"/>
    <x v="0"/>
    <x v="0"/>
  </r>
  <r>
    <x v="76"/>
    <x v="17"/>
    <x v="3"/>
    <x v="2"/>
    <x v="4"/>
    <x v="1"/>
    <n v="6"/>
    <x v="3"/>
    <n v="43741"/>
    <n v="6532"/>
    <n v="1123"/>
    <n v="5580"/>
    <n v="3679"/>
    <n v="4374"/>
    <x v="76"/>
    <x v="2"/>
    <n v="2"/>
    <n v="5"/>
    <s v="Yes"/>
    <s v="2022-07-03"/>
    <x v="0"/>
    <x v="2"/>
  </r>
  <r>
    <x v="77"/>
    <x v="30"/>
    <x v="3"/>
    <x v="0"/>
    <x v="5"/>
    <x v="1"/>
    <n v="8"/>
    <x v="0"/>
    <n v="74162"/>
    <n v="4564"/>
    <n v="1974"/>
    <n v="5407"/>
    <n v="1532"/>
    <n v="7416"/>
    <x v="77"/>
    <x v="3"/>
    <n v="8"/>
    <n v="1"/>
    <s v="Yes"/>
    <s v="2022-01-11"/>
    <x v="2"/>
    <x v="0"/>
  </r>
  <r>
    <x v="78"/>
    <x v="40"/>
    <x v="3"/>
    <x v="2"/>
    <x v="1"/>
    <x v="1"/>
    <n v="5"/>
    <x v="1"/>
    <n v="82571"/>
    <n v="9629"/>
    <n v="3463"/>
    <n v="3017"/>
    <n v="1181"/>
    <n v="8257"/>
    <x v="78"/>
    <x v="3"/>
    <n v="5"/>
    <n v="8"/>
    <s v="Yes"/>
    <s v="2019-11-18"/>
    <x v="2"/>
    <x v="2"/>
  </r>
  <r>
    <x v="79"/>
    <x v="7"/>
    <x v="4"/>
    <x v="2"/>
    <x v="2"/>
    <x v="1"/>
    <n v="5"/>
    <x v="1"/>
    <n v="32482"/>
    <n v="7899"/>
    <n v="1673"/>
    <n v="1928"/>
    <n v="3969"/>
    <n v="3248"/>
    <x v="79"/>
    <x v="0"/>
    <n v="4"/>
    <n v="14"/>
    <s v="Yes"/>
    <s v="2018-09-17"/>
    <x v="1"/>
    <x v="2"/>
  </r>
  <r>
    <x v="80"/>
    <x v="22"/>
    <x v="5"/>
    <x v="1"/>
    <x v="0"/>
    <x v="1"/>
    <n v="10"/>
    <x v="0"/>
    <n v="49911"/>
    <n v="2881"/>
    <n v="3104"/>
    <n v="1034"/>
    <n v="1771"/>
    <n v="4991"/>
    <x v="80"/>
    <x v="3"/>
    <n v="6"/>
    <n v="11"/>
    <s v="No"/>
    <s v="2015-09-15"/>
    <x v="0"/>
    <x v="0"/>
  </r>
  <r>
    <x v="81"/>
    <x v="4"/>
    <x v="3"/>
    <x v="2"/>
    <x v="1"/>
    <x v="0"/>
    <n v="9"/>
    <x v="1"/>
    <n v="51559"/>
    <n v="2415"/>
    <n v="3697"/>
    <n v="4530"/>
    <n v="1016"/>
    <n v="5155"/>
    <x v="81"/>
    <x v="0"/>
    <n v="9"/>
    <n v="12"/>
    <s v="No"/>
    <s v="2017-04-12"/>
    <x v="0"/>
    <x v="0"/>
  </r>
  <r>
    <x v="82"/>
    <x v="23"/>
    <x v="2"/>
    <x v="0"/>
    <x v="5"/>
    <x v="1"/>
    <n v="8"/>
    <x v="4"/>
    <n v="68088"/>
    <n v="9368"/>
    <n v="2231"/>
    <n v="5143"/>
    <n v="1413"/>
    <n v="6808"/>
    <x v="82"/>
    <x v="0"/>
    <n v="3"/>
    <n v="11"/>
    <s v="No"/>
    <s v="2015-12-15"/>
    <x v="2"/>
    <x v="0"/>
  </r>
  <r>
    <x v="83"/>
    <x v="2"/>
    <x v="0"/>
    <x v="4"/>
    <x v="0"/>
    <x v="1"/>
    <n v="6"/>
    <x v="4"/>
    <n v="46136"/>
    <n v="3280"/>
    <n v="2039"/>
    <n v="5080"/>
    <n v="3575"/>
    <n v="4613"/>
    <x v="83"/>
    <x v="3"/>
    <n v="9"/>
    <n v="0"/>
    <s v="Yes"/>
    <s v="2021-09-22"/>
    <x v="0"/>
    <x v="2"/>
  </r>
  <r>
    <x v="84"/>
    <x v="41"/>
    <x v="0"/>
    <x v="1"/>
    <x v="5"/>
    <x v="1"/>
    <n v="2"/>
    <x v="1"/>
    <n v="87203"/>
    <n v="2224"/>
    <n v="1832"/>
    <n v="1598"/>
    <n v="2070"/>
    <n v="8720"/>
    <x v="84"/>
    <x v="1"/>
    <n v="9"/>
    <n v="12"/>
    <s v="Yes"/>
    <s v="2023-10-25"/>
    <x v="2"/>
    <x v="1"/>
  </r>
  <r>
    <x v="85"/>
    <x v="39"/>
    <x v="4"/>
    <x v="0"/>
    <x v="4"/>
    <x v="0"/>
    <n v="2"/>
    <x v="4"/>
    <n v="79484"/>
    <n v="4895"/>
    <n v="3198"/>
    <n v="1960"/>
    <n v="4980"/>
    <n v="7948"/>
    <x v="82"/>
    <x v="2"/>
    <n v="9"/>
    <n v="2"/>
    <s v="No"/>
    <s v="2016-03-11"/>
    <x v="2"/>
    <x v="1"/>
  </r>
  <r>
    <x v="86"/>
    <x v="6"/>
    <x v="0"/>
    <x v="2"/>
    <x v="0"/>
    <x v="1"/>
    <n v="1"/>
    <x v="3"/>
    <n v="82179"/>
    <n v="5076"/>
    <n v="1636"/>
    <n v="3077"/>
    <n v="4302"/>
    <n v="8217"/>
    <x v="85"/>
    <x v="1"/>
    <n v="1"/>
    <n v="4"/>
    <s v="No"/>
    <s v="2023-12-16"/>
    <x v="2"/>
    <x v="1"/>
  </r>
  <r>
    <x v="87"/>
    <x v="12"/>
    <x v="1"/>
    <x v="1"/>
    <x v="1"/>
    <x v="1"/>
    <n v="1"/>
    <x v="0"/>
    <n v="51695"/>
    <n v="9412"/>
    <n v="2533"/>
    <n v="4832"/>
    <n v="1799"/>
    <n v="5169"/>
    <x v="86"/>
    <x v="3"/>
    <n v="6"/>
    <n v="1"/>
    <s v="No"/>
    <s v="2021-04-18"/>
    <x v="0"/>
    <x v="1"/>
  </r>
  <r>
    <x v="88"/>
    <x v="42"/>
    <x v="1"/>
    <x v="0"/>
    <x v="5"/>
    <x v="0"/>
    <n v="2"/>
    <x v="1"/>
    <n v="46084"/>
    <n v="7925"/>
    <n v="3680"/>
    <n v="1082"/>
    <n v="3242"/>
    <n v="4608"/>
    <x v="87"/>
    <x v="2"/>
    <n v="3"/>
    <n v="0"/>
    <s v="No"/>
    <s v="2021-07-22"/>
    <x v="0"/>
    <x v="1"/>
  </r>
  <r>
    <x v="89"/>
    <x v="16"/>
    <x v="0"/>
    <x v="1"/>
    <x v="3"/>
    <x v="0"/>
    <n v="1"/>
    <x v="3"/>
    <n v="59857"/>
    <n v="9551"/>
    <n v="2600"/>
    <n v="2828"/>
    <n v="2952"/>
    <n v="5985"/>
    <x v="88"/>
    <x v="0"/>
    <n v="3"/>
    <n v="6"/>
    <s v="Yes"/>
    <s v="2020-06-24"/>
    <x v="0"/>
    <x v="1"/>
  </r>
  <r>
    <x v="90"/>
    <x v="31"/>
    <x v="5"/>
    <x v="0"/>
    <x v="5"/>
    <x v="1"/>
    <n v="6"/>
    <x v="1"/>
    <n v="54645"/>
    <n v="6843"/>
    <n v="3153"/>
    <n v="1432"/>
    <n v="3929"/>
    <n v="5464"/>
    <x v="89"/>
    <x v="2"/>
    <n v="9"/>
    <n v="14"/>
    <s v="No"/>
    <s v="2016-02-04"/>
    <x v="0"/>
    <x v="2"/>
  </r>
  <r>
    <x v="91"/>
    <x v="21"/>
    <x v="3"/>
    <x v="2"/>
    <x v="0"/>
    <x v="1"/>
    <n v="9"/>
    <x v="2"/>
    <n v="62920"/>
    <n v="5860"/>
    <n v="3104"/>
    <n v="1422"/>
    <n v="2021"/>
    <n v="6292"/>
    <x v="90"/>
    <x v="1"/>
    <n v="4"/>
    <n v="6"/>
    <s v="Yes"/>
    <s v="2017-11-09"/>
    <x v="0"/>
    <x v="0"/>
  </r>
  <r>
    <x v="92"/>
    <x v="16"/>
    <x v="1"/>
    <x v="2"/>
    <x v="2"/>
    <x v="0"/>
    <n v="8"/>
    <x v="1"/>
    <n v="74035"/>
    <n v="2497"/>
    <n v="3190"/>
    <n v="3636"/>
    <n v="1507"/>
    <n v="7403"/>
    <x v="91"/>
    <x v="2"/>
    <n v="8"/>
    <n v="15"/>
    <s v="Yes"/>
    <s v="2022-01-18"/>
    <x v="2"/>
    <x v="0"/>
  </r>
  <r>
    <x v="93"/>
    <x v="8"/>
    <x v="3"/>
    <x v="0"/>
    <x v="0"/>
    <x v="0"/>
    <n v="6"/>
    <x v="2"/>
    <n v="82223"/>
    <n v="6824"/>
    <n v="1903"/>
    <n v="5251"/>
    <n v="1112"/>
    <n v="8222"/>
    <x v="92"/>
    <x v="2"/>
    <n v="9"/>
    <n v="14"/>
    <s v="No"/>
    <s v="2021-05-21"/>
    <x v="2"/>
    <x v="2"/>
  </r>
  <r>
    <x v="94"/>
    <x v="34"/>
    <x v="0"/>
    <x v="2"/>
    <x v="1"/>
    <x v="1"/>
    <n v="7"/>
    <x v="2"/>
    <n v="89266"/>
    <n v="8290"/>
    <n v="3235"/>
    <n v="5970"/>
    <n v="4924"/>
    <n v="8926"/>
    <x v="93"/>
    <x v="0"/>
    <n v="7"/>
    <n v="1"/>
    <s v="No"/>
    <s v="2015-09-08"/>
    <x v="2"/>
    <x v="0"/>
  </r>
  <r>
    <x v="95"/>
    <x v="13"/>
    <x v="5"/>
    <x v="0"/>
    <x v="1"/>
    <x v="1"/>
    <n v="9"/>
    <x v="2"/>
    <n v="44063"/>
    <n v="5942"/>
    <n v="1522"/>
    <n v="3527"/>
    <n v="2828"/>
    <n v="4406"/>
    <x v="94"/>
    <x v="2"/>
    <n v="1"/>
    <n v="11"/>
    <s v="Yes"/>
    <s v="2018-11-22"/>
    <x v="0"/>
    <x v="0"/>
  </r>
  <r>
    <x v="96"/>
    <x v="43"/>
    <x v="1"/>
    <x v="3"/>
    <x v="1"/>
    <x v="0"/>
    <n v="1"/>
    <x v="2"/>
    <n v="60879"/>
    <n v="8920"/>
    <n v="1682"/>
    <n v="2828"/>
    <n v="3211"/>
    <n v="6087"/>
    <x v="95"/>
    <x v="1"/>
    <n v="1"/>
    <n v="10"/>
    <s v="Yes"/>
    <s v="2017-08-13"/>
    <x v="0"/>
    <x v="1"/>
  </r>
  <r>
    <x v="97"/>
    <x v="5"/>
    <x v="5"/>
    <x v="1"/>
    <x v="4"/>
    <x v="1"/>
    <n v="1"/>
    <x v="4"/>
    <n v="88903"/>
    <n v="5773"/>
    <n v="2203"/>
    <n v="5181"/>
    <n v="4575"/>
    <n v="8890"/>
    <x v="96"/>
    <x v="3"/>
    <n v="10"/>
    <n v="9"/>
    <s v="No"/>
    <s v="2022-04-10"/>
    <x v="2"/>
    <x v="1"/>
  </r>
  <r>
    <x v="98"/>
    <x v="16"/>
    <x v="0"/>
    <x v="3"/>
    <x v="4"/>
    <x v="0"/>
    <n v="7"/>
    <x v="4"/>
    <n v="62247"/>
    <n v="8002"/>
    <n v="1647"/>
    <n v="4045"/>
    <n v="1268"/>
    <n v="6224"/>
    <x v="97"/>
    <x v="2"/>
    <n v="5"/>
    <n v="15"/>
    <s v="Yes"/>
    <s v="2020-03-20"/>
    <x v="0"/>
    <x v="0"/>
  </r>
  <r>
    <x v="99"/>
    <x v="18"/>
    <x v="5"/>
    <x v="1"/>
    <x v="1"/>
    <x v="1"/>
    <n v="6"/>
    <x v="1"/>
    <n v="76096"/>
    <n v="8213"/>
    <n v="2289"/>
    <n v="3512"/>
    <n v="3131"/>
    <n v="7609"/>
    <x v="98"/>
    <x v="1"/>
    <n v="5"/>
    <n v="10"/>
    <s v="No"/>
    <s v="2023-11-23"/>
    <x v="2"/>
    <x v="2"/>
  </r>
  <r>
    <x v="100"/>
    <x v="12"/>
    <x v="4"/>
    <x v="3"/>
    <x v="0"/>
    <x v="0"/>
    <n v="5"/>
    <x v="0"/>
    <n v="50374"/>
    <n v="8649"/>
    <n v="1523"/>
    <n v="5827"/>
    <n v="3065"/>
    <n v="5037"/>
    <x v="99"/>
    <x v="3"/>
    <n v="2"/>
    <n v="14"/>
    <s v="No"/>
    <s v="2020-09-23"/>
    <x v="0"/>
    <x v="2"/>
  </r>
  <r>
    <x v="101"/>
    <x v="6"/>
    <x v="3"/>
    <x v="4"/>
    <x v="2"/>
    <x v="0"/>
    <n v="4"/>
    <x v="1"/>
    <n v="31742"/>
    <n v="6953"/>
    <n v="621"/>
    <n v="3728"/>
    <n v="2789"/>
    <n v="3174"/>
    <x v="100"/>
    <x v="3"/>
    <n v="3"/>
    <n v="5"/>
    <s v="No"/>
    <s v="2021-04-04"/>
    <x v="1"/>
    <x v="2"/>
  </r>
  <r>
    <x v="102"/>
    <x v="6"/>
    <x v="0"/>
    <x v="3"/>
    <x v="2"/>
    <x v="1"/>
    <n v="5"/>
    <x v="4"/>
    <n v="75886"/>
    <n v="4161"/>
    <n v="2347"/>
    <n v="3484"/>
    <n v="4113"/>
    <n v="7588"/>
    <x v="101"/>
    <x v="1"/>
    <n v="6"/>
    <n v="7"/>
    <s v="Yes"/>
    <s v="2022-08-11"/>
    <x v="2"/>
    <x v="2"/>
  </r>
  <r>
    <x v="103"/>
    <x v="1"/>
    <x v="5"/>
    <x v="3"/>
    <x v="2"/>
    <x v="1"/>
    <n v="5"/>
    <x v="3"/>
    <n v="65537"/>
    <n v="4058"/>
    <n v="2344"/>
    <n v="3526"/>
    <n v="2782"/>
    <n v="6553"/>
    <x v="102"/>
    <x v="0"/>
    <n v="9"/>
    <n v="11"/>
    <s v="Yes"/>
    <s v="2019-11-05"/>
    <x v="0"/>
    <x v="2"/>
  </r>
  <r>
    <x v="104"/>
    <x v="4"/>
    <x v="5"/>
    <x v="3"/>
    <x v="1"/>
    <x v="0"/>
    <n v="4"/>
    <x v="4"/>
    <n v="65336"/>
    <n v="4032"/>
    <n v="1574"/>
    <n v="5493"/>
    <n v="2368"/>
    <n v="6533"/>
    <x v="103"/>
    <x v="2"/>
    <n v="8"/>
    <n v="13"/>
    <s v="No"/>
    <s v="2019-04-05"/>
    <x v="0"/>
    <x v="2"/>
  </r>
  <r>
    <x v="105"/>
    <x v="42"/>
    <x v="1"/>
    <x v="3"/>
    <x v="2"/>
    <x v="0"/>
    <n v="7"/>
    <x v="1"/>
    <n v="78564"/>
    <n v="5901"/>
    <n v="3468"/>
    <n v="3792"/>
    <n v="2822"/>
    <n v="7856"/>
    <x v="104"/>
    <x v="0"/>
    <n v="8"/>
    <n v="8"/>
    <s v="Yes"/>
    <s v="2015-07-15"/>
    <x v="2"/>
    <x v="0"/>
  </r>
  <r>
    <x v="106"/>
    <x v="7"/>
    <x v="2"/>
    <x v="1"/>
    <x v="0"/>
    <x v="0"/>
    <n v="10"/>
    <x v="0"/>
    <n v="34468"/>
    <n v="9017"/>
    <n v="1896"/>
    <n v="4253"/>
    <n v="1676"/>
    <n v="3446"/>
    <x v="105"/>
    <x v="3"/>
    <n v="8"/>
    <n v="13"/>
    <s v="Yes"/>
    <s v="2023-08-17"/>
    <x v="0"/>
    <x v="0"/>
  </r>
  <r>
    <x v="107"/>
    <x v="23"/>
    <x v="4"/>
    <x v="0"/>
    <x v="5"/>
    <x v="1"/>
    <n v="9"/>
    <x v="0"/>
    <n v="47189"/>
    <n v="6287"/>
    <n v="2769"/>
    <n v="5360"/>
    <n v="3902"/>
    <n v="4718"/>
    <x v="106"/>
    <x v="2"/>
    <n v="6"/>
    <n v="9"/>
    <s v="No"/>
    <s v="2016-11-02"/>
    <x v="0"/>
    <x v="0"/>
  </r>
  <r>
    <x v="108"/>
    <x v="34"/>
    <x v="0"/>
    <x v="3"/>
    <x v="5"/>
    <x v="1"/>
    <n v="1"/>
    <x v="2"/>
    <n v="50105"/>
    <n v="3024"/>
    <n v="2908"/>
    <n v="4782"/>
    <n v="1072"/>
    <n v="5010"/>
    <x v="107"/>
    <x v="0"/>
    <n v="5"/>
    <n v="11"/>
    <s v="No"/>
    <s v="2023-11-18"/>
    <x v="0"/>
    <x v="1"/>
  </r>
  <r>
    <x v="109"/>
    <x v="24"/>
    <x v="3"/>
    <x v="3"/>
    <x v="2"/>
    <x v="0"/>
    <n v="9"/>
    <x v="3"/>
    <n v="88093"/>
    <n v="4977"/>
    <n v="3084"/>
    <n v="5786"/>
    <n v="1571"/>
    <n v="8809"/>
    <x v="108"/>
    <x v="0"/>
    <n v="10"/>
    <n v="4"/>
    <s v="Yes"/>
    <s v="2017-12-15"/>
    <x v="2"/>
    <x v="0"/>
  </r>
  <r>
    <x v="110"/>
    <x v="28"/>
    <x v="3"/>
    <x v="3"/>
    <x v="2"/>
    <x v="1"/>
    <n v="3"/>
    <x v="4"/>
    <n v="51473"/>
    <n v="3568"/>
    <n v="1135"/>
    <n v="1329"/>
    <n v="4880"/>
    <n v="5147"/>
    <x v="109"/>
    <x v="2"/>
    <n v="2"/>
    <n v="6"/>
    <s v="No"/>
    <s v="2020-12-01"/>
    <x v="0"/>
    <x v="2"/>
  </r>
  <r>
    <x v="111"/>
    <x v="41"/>
    <x v="0"/>
    <x v="1"/>
    <x v="5"/>
    <x v="1"/>
    <n v="7"/>
    <x v="4"/>
    <n v="75362"/>
    <n v="7346"/>
    <n v="3559"/>
    <n v="1699"/>
    <n v="2924"/>
    <n v="7536"/>
    <x v="110"/>
    <x v="1"/>
    <n v="1"/>
    <n v="7"/>
    <s v="No"/>
    <s v="2020-01-11"/>
    <x v="2"/>
    <x v="0"/>
  </r>
  <r>
    <x v="112"/>
    <x v="15"/>
    <x v="0"/>
    <x v="0"/>
    <x v="1"/>
    <x v="1"/>
    <n v="3"/>
    <x v="2"/>
    <n v="50318"/>
    <n v="9076"/>
    <n v="2880"/>
    <n v="3906"/>
    <n v="4989"/>
    <n v="5031"/>
    <x v="111"/>
    <x v="0"/>
    <n v="8"/>
    <n v="14"/>
    <s v="No"/>
    <s v="2016-06-01"/>
    <x v="0"/>
    <x v="2"/>
  </r>
  <r>
    <x v="113"/>
    <x v="3"/>
    <x v="5"/>
    <x v="1"/>
    <x v="1"/>
    <x v="0"/>
    <n v="5"/>
    <x v="2"/>
    <n v="30783"/>
    <n v="5736"/>
    <n v="1989"/>
    <n v="3270"/>
    <n v="4806"/>
    <n v="3078"/>
    <x v="112"/>
    <x v="0"/>
    <n v="1"/>
    <n v="5"/>
    <s v="No"/>
    <s v="2017-01-25"/>
    <x v="1"/>
    <x v="2"/>
  </r>
  <r>
    <x v="114"/>
    <x v="18"/>
    <x v="0"/>
    <x v="3"/>
    <x v="0"/>
    <x v="1"/>
    <n v="8"/>
    <x v="4"/>
    <n v="66754"/>
    <n v="9747"/>
    <n v="785"/>
    <n v="2053"/>
    <n v="3312"/>
    <n v="6675"/>
    <x v="113"/>
    <x v="0"/>
    <n v="2"/>
    <n v="9"/>
    <s v="Yes"/>
    <s v="2023-08-28"/>
    <x v="0"/>
    <x v="0"/>
  </r>
  <r>
    <x v="115"/>
    <x v="22"/>
    <x v="2"/>
    <x v="4"/>
    <x v="4"/>
    <x v="0"/>
    <n v="3"/>
    <x v="0"/>
    <n v="55788"/>
    <n v="2170"/>
    <n v="2599"/>
    <n v="1845"/>
    <n v="3071"/>
    <n v="5578"/>
    <x v="114"/>
    <x v="3"/>
    <n v="2"/>
    <n v="2"/>
    <s v="Yes"/>
    <s v="2021-03-05"/>
    <x v="0"/>
    <x v="2"/>
  </r>
  <r>
    <x v="116"/>
    <x v="37"/>
    <x v="1"/>
    <x v="1"/>
    <x v="0"/>
    <x v="0"/>
    <n v="1"/>
    <x v="4"/>
    <n v="85388"/>
    <n v="9918"/>
    <n v="1528"/>
    <n v="4715"/>
    <n v="4525"/>
    <n v="8538"/>
    <x v="115"/>
    <x v="0"/>
    <n v="8"/>
    <n v="4"/>
    <s v="No"/>
    <s v="2017-11-15"/>
    <x v="2"/>
    <x v="1"/>
  </r>
  <r>
    <x v="117"/>
    <x v="26"/>
    <x v="1"/>
    <x v="2"/>
    <x v="0"/>
    <x v="0"/>
    <n v="3"/>
    <x v="1"/>
    <n v="39294"/>
    <n v="6580"/>
    <n v="2712"/>
    <n v="3433"/>
    <n v="3660"/>
    <n v="3929"/>
    <x v="116"/>
    <x v="1"/>
    <n v="9"/>
    <n v="9"/>
    <s v="No"/>
    <s v="2022-04-08"/>
    <x v="0"/>
    <x v="2"/>
  </r>
  <r>
    <x v="118"/>
    <x v="44"/>
    <x v="4"/>
    <x v="2"/>
    <x v="0"/>
    <x v="1"/>
    <n v="3"/>
    <x v="4"/>
    <n v="70544"/>
    <n v="5743"/>
    <n v="3280"/>
    <n v="1881"/>
    <n v="2280"/>
    <n v="7054"/>
    <x v="117"/>
    <x v="3"/>
    <n v="1"/>
    <n v="10"/>
    <s v="Yes"/>
    <s v="2022-09-26"/>
    <x v="2"/>
    <x v="2"/>
  </r>
  <r>
    <x v="119"/>
    <x v="35"/>
    <x v="3"/>
    <x v="4"/>
    <x v="5"/>
    <x v="0"/>
    <n v="10"/>
    <x v="3"/>
    <n v="57326"/>
    <n v="4808"/>
    <n v="3765"/>
    <n v="4945"/>
    <n v="1213"/>
    <n v="5732"/>
    <x v="118"/>
    <x v="0"/>
    <n v="6"/>
    <n v="8"/>
    <s v="Yes"/>
    <s v="2015-08-0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AAF0EE-73E8-4A30-A07A-D6CB1B12C7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4:D11" firstHeaderRow="0" firstDataRow="1" firstDataCol="1"/>
  <pivotFields count="22">
    <pivotField showAll="0"/>
    <pivotField showAll="0"/>
    <pivotField axis="axisRow" showAll="0">
      <items count="7">
        <item x="4"/>
        <item x="2"/>
        <item x="1"/>
        <item x="5"/>
        <item x="0"/>
        <item x="3"/>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items count="5">
        <item x="1"/>
        <item x="2"/>
        <item x="3"/>
        <item x="0"/>
        <item t="default"/>
      </items>
    </pivotField>
    <pivotField dataField="1" showAll="0"/>
    <pivotField showAll="0"/>
    <pivotField showAll="0"/>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Average of Performance_Rating" fld="15" subtotal="average" baseField="2" baseItem="0"/>
    <dataField name="Sum of Projects_Handled" fld="16" baseField="2" baseItem="0"/>
  </dataFields>
  <chartFormats count="4">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2B731C-F4B7-44B2-983A-93547B26CC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4:D8" firstHeaderRow="0" firstDataRow="1" firstDataCol="1"/>
  <pivotFields count="22">
    <pivotField dataField="1" showAll="0"/>
    <pivotField showAll="0"/>
    <pivotField showAll="0">
      <items count="7">
        <item x="4"/>
        <item x="2"/>
        <item x="1"/>
        <item x="5"/>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
        <item x="2"/>
        <item x="1"/>
        <item x="0"/>
        <item t="default"/>
      </items>
    </pivotField>
    <pivotField axis="axisRow" showAll="0">
      <items count="4">
        <item x="1"/>
        <item x="2"/>
        <item x="0"/>
        <item t="default"/>
      </items>
    </pivotField>
  </pivotFields>
  <rowFields count="1">
    <field x="21"/>
  </rowFields>
  <rowItems count="4">
    <i>
      <x/>
    </i>
    <i>
      <x v="1"/>
    </i>
    <i>
      <x v="2"/>
    </i>
    <i t="grand">
      <x/>
    </i>
  </rowItems>
  <colFields count="1">
    <field x="-2"/>
  </colFields>
  <colItems count="2">
    <i>
      <x/>
    </i>
    <i i="1">
      <x v="1"/>
    </i>
  </colItems>
  <dataFields count="2">
    <dataField name="Average of Net_Salary" fld="14" subtotal="average" baseField="21" baseItem="0"/>
    <dataField name="Count of Emp_ID" fld="0" subtotal="count" baseField="21" baseItem="0"/>
  </dataField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EAF7C2-DBFB-4CCF-84C2-9277B473FCC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8">
  <location ref="B16:D23" firstHeaderRow="0" firstDataRow="1" firstDataCol="1"/>
  <pivotFields count="22">
    <pivotField dataField="1"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axis="axisRow" showAll="0">
      <items count="7">
        <item x="4"/>
        <item x="2"/>
        <item x="1"/>
        <item x="5"/>
        <item x="0"/>
        <item x="3"/>
        <item t="default"/>
      </items>
    </pivotField>
    <pivotField showAll="0">
      <items count="6">
        <item x="1"/>
        <item x="3"/>
        <item x="0"/>
        <item x="4"/>
        <item x="2"/>
        <item t="default"/>
      </items>
    </pivotField>
    <pivotField showAll="0">
      <items count="7">
        <item x="1"/>
        <item x="3"/>
        <item x="5"/>
        <item x="4"/>
        <item x="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dataField="1" showAll="0">
      <items count="120">
        <item x="112"/>
        <item x="15"/>
        <item x="28"/>
        <item x="16"/>
        <item x="13"/>
        <item x="79"/>
        <item x="100"/>
        <item x="23"/>
        <item x="68"/>
        <item x="6"/>
        <item x="39"/>
        <item x="57"/>
        <item x="20"/>
        <item x="72"/>
        <item x="3"/>
        <item x="52"/>
        <item x="70"/>
        <item x="116"/>
        <item x="105"/>
        <item x="62"/>
        <item x="5"/>
        <item x="67"/>
        <item x="0"/>
        <item x="109"/>
        <item x="94"/>
        <item x="71"/>
        <item x="83"/>
        <item x="76"/>
        <item x="50"/>
        <item x="55"/>
        <item x="80"/>
        <item x="87"/>
        <item x="63"/>
        <item x="8"/>
        <item x="1"/>
        <item x="18"/>
        <item x="12"/>
        <item x="53"/>
        <item x="19"/>
        <item x="106"/>
        <item x="114"/>
        <item x="107"/>
        <item x="29"/>
        <item x="10"/>
        <item x="81"/>
        <item x="111"/>
        <item x="44"/>
        <item x="89"/>
        <item x="73"/>
        <item x="64"/>
        <item x="60"/>
        <item x="27"/>
        <item x="99"/>
        <item x="25"/>
        <item x="21"/>
        <item x="75"/>
        <item x="2"/>
        <item x="30"/>
        <item x="37"/>
        <item x="86"/>
        <item x="35"/>
        <item x="38"/>
        <item x="48"/>
        <item x="118"/>
        <item x="66"/>
        <item x="14"/>
        <item x="90"/>
        <item x="95"/>
        <item x="88"/>
        <item x="33"/>
        <item x="102"/>
        <item x="31"/>
        <item x="42"/>
        <item x="103"/>
        <item x="4"/>
        <item x="97"/>
        <item x="9"/>
        <item x="34"/>
        <item x="45"/>
        <item x="113"/>
        <item x="7"/>
        <item x="117"/>
        <item x="69"/>
        <item x="41"/>
        <item x="65"/>
        <item x="47"/>
        <item x="101"/>
        <item x="91"/>
        <item x="11"/>
        <item x="24"/>
        <item x="51"/>
        <item x="32"/>
        <item x="82"/>
        <item x="77"/>
        <item x="40"/>
        <item x="110"/>
        <item x="54"/>
        <item x="46"/>
        <item x="17"/>
        <item x="58"/>
        <item x="98"/>
        <item x="85"/>
        <item x="59"/>
        <item x="104"/>
        <item x="56"/>
        <item x="84"/>
        <item x="26"/>
        <item x="22"/>
        <item x="36"/>
        <item x="92"/>
        <item x="43"/>
        <item x="74"/>
        <item x="115"/>
        <item x="96"/>
        <item x="78"/>
        <item x="49"/>
        <item x="61"/>
        <item x="108"/>
        <item x="93"/>
        <item t="default"/>
      </items>
    </pivotField>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Count of Emp_ID" fld="0" subtotal="count" baseField="3" baseItem="2"/>
    <dataField name="Sum of Net_Salary" fld="14" baseField="0" baseItem="0"/>
  </dataFields>
  <chartFormats count="8">
    <chartFormat chart="30"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1"/>
          </reference>
        </references>
      </pivotArea>
    </chartFormat>
    <chartFormat chart="54" format="8" series="1">
      <pivotArea type="data" outline="0" fieldPosition="0">
        <references count="1">
          <reference field="4294967294" count="1" selected="0">
            <x v="0"/>
          </reference>
        </references>
      </pivotArea>
    </chartFormat>
    <chartFormat chart="54" format="9" series="1">
      <pivotArea type="data" outline="0" fieldPosition="0">
        <references count="1">
          <reference field="4294967294" count="1" selected="0">
            <x v="1"/>
          </reference>
        </references>
      </pivotArea>
    </chartFormat>
    <chartFormat chart="57" format="7" series="1">
      <pivotArea type="data" outline="0" fieldPosition="0">
        <references count="1">
          <reference field="4294967294" count="1" selected="0">
            <x v="0"/>
          </reference>
        </references>
      </pivotArea>
    </chartFormat>
    <chartFormat chart="57"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C032C0-B520-48C4-BB5C-C42A79126A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7:D44" firstHeaderRow="0" firstDataRow="1" firstDataCol="1"/>
  <pivotFields count="22">
    <pivotField dataField="1" showAll="0"/>
    <pivotField showAll="0"/>
    <pivotField axis="axisRow" showAll="0">
      <items count="7">
        <item x="4"/>
        <item x="2"/>
        <item x="1"/>
        <item x="5"/>
        <item x="0"/>
        <item x="3"/>
        <item t="default"/>
      </items>
    </pivotField>
    <pivotField showAll="0">
      <items count="6">
        <item x="1"/>
        <item x="3"/>
        <item x="0"/>
        <item x="4"/>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Net_Salary" fld="14" baseField="0" baseItem="0"/>
    <dataField name="Count of Emp_ID" fld="0" subtotal="count" baseField="2" baseItem="2"/>
  </dataField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1"/>
          </reference>
          <reference field="2" count="1" selected="0">
            <x v="0"/>
          </reference>
        </references>
      </pivotArea>
    </chartFormat>
    <chartFormat chart="2" format="9">
      <pivotArea type="data" outline="0" fieldPosition="0">
        <references count="2">
          <reference field="4294967294" count="1" selected="0">
            <x v="1"/>
          </reference>
          <reference field="2" count="1" selected="0">
            <x v="1"/>
          </reference>
        </references>
      </pivotArea>
    </chartFormat>
    <chartFormat chart="2" format="10">
      <pivotArea type="data" outline="0" fieldPosition="0">
        <references count="2">
          <reference field="4294967294" count="1" selected="0">
            <x v="1"/>
          </reference>
          <reference field="2" count="1" selected="0">
            <x v="2"/>
          </reference>
        </references>
      </pivotArea>
    </chartFormat>
    <chartFormat chart="2" format="11">
      <pivotArea type="data" outline="0" fieldPosition="0">
        <references count="2">
          <reference field="4294967294" count="1" selected="0">
            <x v="1"/>
          </reference>
          <reference field="2" count="1" selected="0">
            <x v="3"/>
          </reference>
        </references>
      </pivotArea>
    </chartFormat>
    <chartFormat chart="2" format="12">
      <pivotArea type="data" outline="0" fieldPosition="0">
        <references count="2">
          <reference field="4294967294" count="1" selected="0">
            <x v="1"/>
          </reference>
          <reference field="2" count="1" selected="0">
            <x v="4"/>
          </reference>
        </references>
      </pivotArea>
    </chartFormat>
    <chartFormat chart="2" format="13">
      <pivotArea type="data" outline="0" fieldPosition="0">
        <references count="2">
          <reference field="4294967294" count="1" selected="0">
            <x v="1"/>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CE9F1E-5DB3-415D-986C-C97FA9D57A9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I5" firstHeaderRow="0" firstDataRow="1" firstDataCol="0"/>
  <pivotFields count="22">
    <pivotField dataField="1" showAll="0"/>
    <pivotField showAll="0">
      <items count="46">
        <item x="32"/>
        <item x="1"/>
        <item x="7"/>
        <item x="33"/>
        <item x="15"/>
        <item x="8"/>
        <item x="16"/>
        <item x="12"/>
        <item x="43"/>
        <item x="38"/>
        <item x="22"/>
        <item x="13"/>
        <item x="31"/>
        <item x="0"/>
        <item x="29"/>
        <item x="2"/>
        <item x="3"/>
        <item x="25"/>
        <item x="18"/>
        <item x="35"/>
        <item x="40"/>
        <item x="14"/>
        <item x="6"/>
        <item x="30"/>
        <item x="20"/>
        <item x="5"/>
        <item x="39"/>
        <item x="41"/>
        <item x="10"/>
        <item x="23"/>
        <item x="37"/>
        <item x="36"/>
        <item x="17"/>
        <item x="11"/>
        <item x="4"/>
        <item x="21"/>
        <item x="26"/>
        <item x="27"/>
        <item x="42"/>
        <item x="28"/>
        <item x="19"/>
        <item x="44"/>
        <item x="34"/>
        <item x="9"/>
        <item x="24"/>
        <item t="default"/>
      </items>
    </pivotField>
    <pivotField showAll="0">
      <items count="7">
        <item x="4"/>
        <item x="2"/>
        <item x="1"/>
        <item x="5"/>
        <item x="0"/>
        <item x="3"/>
        <item t="default"/>
      </items>
    </pivotField>
    <pivotField showAll="0"/>
    <pivotField showAll="0">
      <items count="7">
        <item x="1"/>
        <item x="3"/>
        <item x="5"/>
        <item x="4"/>
        <item x="2"/>
        <item x="0"/>
        <item t="default"/>
      </items>
    </pivotField>
    <pivotField showAll="0">
      <items count="3">
        <item x="1"/>
        <item x="0"/>
        <item t="default"/>
      </items>
    </pivotField>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s>
  <rowItems count="1">
    <i/>
  </rowItems>
  <colFields count="1">
    <field x="-2"/>
  </colFields>
  <colItems count="8">
    <i>
      <x/>
    </i>
    <i i="1">
      <x v="1"/>
    </i>
    <i i="2">
      <x v="2"/>
    </i>
    <i i="3">
      <x v="3"/>
    </i>
    <i i="4">
      <x v="4"/>
    </i>
    <i i="5">
      <x v="5"/>
    </i>
    <i i="6">
      <x v="6"/>
    </i>
    <i i="7">
      <x v="7"/>
    </i>
  </colItems>
  <dataFields count="8">
    <dataField name="Count of Emp_ID" fld="0" subtotal="count" baseField="0" baseItem="1"/>
    <dataField name="Sum of Base_Salary" fld="8" baseField="0" baseItem="1" numFmtId="164"/>
    <dataField name="Sum of Bonus" fld="9" baseField="0" baseItem="2" numFmtId="164"/>
    <dataField name="Sum of Overtime_Pay" fld="10" baseField="0" baseItem="2" numFmtId="164"/>
    <dataField name="Sum of Allowances" fld="11" baseField="0" baseItem="4" numFmtId="164"/>
    <dataField name="Sum of Tax" fld="13" baseField="0" baseItem="5" numFmtId="7"/>
    <dataField name="Sum of Net_Salary" fld="14" baseField="0" baseItem="6" numFmtId="165"/>
    <dataField name="Sum of Deductions" fld="12" baseField="0" baseItem="7"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C7F785-3863-47AD-B10A-805955D91C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R44:S51" firstHeaderRow="1" firstDataRow="1" firstDataCol="1"/>
  <pivotFields count="22">
    <pivotField showAll="0"/>
    <pivotField showAll="0"/>
    <pivotField showAll="0"/>
    <pivotField showAll="0"/>
    <pivotField axis="axisRow" showAll="0">
      <items count="7">
        <item x="1"/>
        <item x="3"/>
        <item x="5"/>
        <item x="4"/>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Net_Salary" fld="14" baseField="4" baseItem="1" numFmtId="166"/>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C33B7F-0F4A-4244-B0F6-79CD863E994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26:C33" firstHeaderRow="1" firstDataRow="1" firstDataCol="1"/>
  <pivotFields count="22">
    <pivotField showAll="0"/>
    <pivotField showAll="0"/>
    <pivotField axis="axisRow" showAll="0">
      <items count="7">
        <item x="4"/>
        <item x="2"/>
        <item x="1"/>
        <item x="5"/>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Net_Salary" fld="14" baseField="0" baseItem="0"/>
  </dataFields>
  <chartFormats count="2">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08DE04-BBD8-47F2-9C84-FAE80D7D0F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8:C15" firstHeaderRow="1" firstDataRow="1" firstDataCol="1"/>
  <pivotFields count="22">
    <pivotField dataField="1" showAll="0"/>
    <pivotField showAll="0"/>
    <pivotField axis="axisRow" showAll="0">
      <items count="7">
        <item x="4"/>
        <item x="2"/>
        <item x="1"/>
        <item x="5"/>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s>
  <rowFields count="1">
    <field x="2"/>
  </rowFields>
  <rowItems count="7">
    <i>
      <x/>
    </i>
    <i>
      <x v="1"/>
    </i>
    <i>
      <x v="2"/>
    </i>
    <i>
      <x v="3"/>
    </i>
    <i>
      <x v="4"/>
    </i>
    <i>
      <x v="5"/>
    </i>
    <i t="grand">
      <x/>
    </i>
  </rowItems>
  <colItems count="1">
    <i/>
  </colItems>
  <dataFields count="1">
    <dataField name="Count of Emp_ID" fld="0" subtotal="count" baseField="2" baseItem="0"/>
  </dataFields>
  <chartFormats count="2">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E90AC6-7637-43D8-BDE7-D5882D6643E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B46:C53" firstHeaderRow="1" firstDataRow="1" firstDataCol="1"/>
  <pivotFields count="22">
    <pivotField showAll="0"/>
    <pivotField showAll="0"/>
    <pivotField showAll="0"/>
    <pivotField showAll="0"/>
    <pivotField axis="axisRow" showAll="0">
      <items count="7">
        <item x="1"/>
        <item x="3"/>
        <item x="5"/>
        <item x="4"/>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Net_Salary" fld="14" baseField="4" baseItem="0" numFmtId="164"/>
  </dataFields>
  <chartFormats count="14">
    <chartFormat chart="43" format="1" series="1">
      <pivotArea type="data" outline="0" fieldPosition="0">
        <references count="1">
          <reference field="4294967294" count="1" selected="0">
            <x v="0"/>
          </reference>
        </references>
      </pivotArea>
    </chartFormat>
    <chartFormat chart="43" format="2">
      <pivotArea type="data" outline="0" fieldPosition="0">
        <references count="2">
          <reference field="4294967294" count="1" selected="0">
            <x v="0"/>
          </reference>
          <reference field="4" count="1" selected="0">
            <x v="0"/>
          </reference>
        </references>
      </pivotArea>
    </chartFormat>
    <chartFormat chart="43" format="3">
      <pivotArea type="data" outline="0" fieldPosition="0">
        <references count="2">
          <reference field="4294967294" count="1" selected="0">
            <x v="0"/>
          </reference>
          <reference field="4" count="1" selected="0">
            <x v="1"/>
          </reference>
        </references>
      </pivotArea>
    </chartFormat>
    <chartFormat chart="43" format="4">
      <pivotArea type="data" outline="0" fieldPosition="0">
        <references count="2">
          <reference field="4294967294" count="1" selected="0">
            <x v="0"/>
          </reference>
          <reference field="4" count="1" selected="0">
            <x v="2"/>
          </reference>
        </references>
      </pivotArea>
    </chartFormat>
    <chartFormat chart="43" format="5">
      <pivotArea type="data" outline="0" fieldPosition="0">
        <references count="2">
          <reference field="4294967294" count="1" selected="0">
            <x v="0"/>
          </reference>
          <reference field="4" count="1" selected="0">
            <x v="3"/>
          </reference>
        </references>
      </pivotArea>
    </chartFormat>
    <chartFormat chart="43" format="6">
      <pivotArea type="data" outline="0" fieldPosition="0">
        <references count="2">
          <reference field="4294967294" count="1" selected="0">
            <x v="0"/>
          </reference>
          <reference field="4" count="1" selected="0">
            <x v="4"/>
          </reference>
        </references>
      </pivotArea>
    </chartFormat>
    <chartFormat chart="43" format="7">
      <pivotArea type="data" outline="0" fieldPosition="0">
        <references count="2">
          <reference field="4294967294" count="1" selected="0">
            <x v="0"/>
          </reference>
          <reference field="4" count="1" selected="0">
            <x v="5"/>
          </reference>
        </references>
      </pivotArea>
    </chartFormat>
    <chartFormat chart="48" format="15" series="1">
      <pivotArea type="data" outline="0" fieldPosition="0">
        <references count="1">
          <reference field="4294967294" count="1" selected="0">
            <x v="0"/>
          </reference>
        </references>
      </pivotArea>
    </chartFormat>
    <chartFormat chart="48" format="16">
      <pivotArea type="data" outline="0" fieldPosition="0">
        <references count="2">
          <reference field="4294967294" count="1" selected="0">
            <x v="0"/>
          </reference>
          <reference field="4" count="1" selected="0">
            <x v="0"/>
          </reference>
        </references>
      </pivotArea>
    </chartFormat>
    <chartFormat chart="48" format="17">
      <pivotArea type="data" outline="0" fieldPosition="0">
        <references count="2">
          <reference field="4294967294" count="1" selected="0">
            <x v="0"/>
          </reference>
          <reference field="4" count="1" selected="0">
            <x v="1"/>
          </reference>
        </references>
      </pivotArea>
    </chartFormat>
    <chartFormat chart="48" format="18">
      <pivotArea type="data" outline="0" fieldPosition="0">
        <references count="2">
          <reference field="4294967294" count="1" selected="0">
            <x v="0"/>
          </reference>
          <reference field="4" count="1" selected="0">
            <x v="2"/>
          </reference>
        </references>
      </pivotArea>
    </chartFormat>
    <chartFormat chart="48" format="19">
      <pivotArea type="data" outline="0" fieldPosition="0">
        <references count="2">
          <reference field="4294967294" count="1" selected="0">
            <x v="0"/>
          </reference>
          <reference field="4" count="1" selected="0">
            <x v="3"/>
          </reference>
        </references>
      </pivotArea>
    </chartFormat>
    <chartFormat chart="48" format="20">
      <pivotArea type="data" outline="0" fieldPosition="0">
        <references count="2">
          <reference field="4294967294" count="1" selected="0">
            <x v="0"/>
          </reference>
          <reference field="4" count="1" selected="0">
            <x v="4"/>
          </reference>
        </references>
      </pivotArea>
    </chartFormat>
    <chartFormat chart="48" format="2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4EC1A7-C268-49E8-ACD9-BE1A26391A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1:C37" firstHeaderRow="1" firstDataRow="1" firstDataCol="1"/>
  <pivotFields count="22">
    <pivotField dataField="1"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showAll="0"/>
    <pivotField showAll="0">
      <items count="3">
        <item x="1"/>
        <item x="0"/>
        <item t="default"/>
      </items>
    </pivotField>
    <pivotField showAll="0"/>
    <pivotField axis="axisRow" showAll="0">
      <items count="6">
        <item x="0"/>
        <item x="4"/>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Emp_ID" fld="0" subtotal="count" baseField="7" baseItem="0"/>
  </dataFields>
  <chartFormats count="2">
    <chartFormat chart="2"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AD0037-26C6-47B0-B915-573070EF04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D7" firstHeaderRow="0" firstDataRow="1" firstDataCol="1"/>
  <pivotFields count="22">
    <pivotField dataField="1" showAll="0"/>
    <pivotField showAll="0"/>
    <pivotField showAll="0">
      <items count="7">
        <item x="4"/>
        <item x="2"/>
        <item x="1"/>
        <item x="5"/>
        <item x="0"/>
        <item x="3"/>
        <item t="default"/>
      </items>
    </pivotField>
    <pivotField showAll="0">
      <items count="6">
        <item x="1"/>
        <item x="3"/>
        <item x="0"/>
        <item x="4"/>
        <item x="2"/>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Count of Emp_ID" fld="0" subtotal="count" baseField="5" baseItem="0"/>
    <dataField name="Average of Net_Salary" fld="14" subtotal="average" baseField="5" baseItem="0"/>
  </dataFields>
  <chartFormats count="1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0"/>
          </reference>
          <reference field="5" count="1" selected="0">
            <x v="0"/>
          </reference>
        </references>
      </pivotArea>
    </chartFormat>
    <chartFormat chart="8" format="3">
      <pivotArea type="data" outline="0" fieldPosition="0">
        <references count="2">
          <reference field="4294967294" count="1" selected="0">
            <x v="0"/>
          </reference>
          <reference field="5" count="1" selected="0">
            <x v="1"/>
          </reference>
        </references>
      </pivotArea>
    </chartFormat>
    <chartFormat chart="8" format="4">
      <pivotArea type="data" outline="0" fieldPosition="0">
        <references count="2">
          <reference field="4294967294" count="1" selected="0">
            <x v="1"/>
          </reference>
          <reference field="5" count="1" selected="0">
            <x v="0"/>
          </reference>
        </references>
      </pivotArea>
    </chartFormat>
    <chartFormat chart="8" format="5">
      <pivotArea type="data" outline="0" fieldPosition="0">
        <references count="2">
          <reference field="4294967294" count="1" selected="0">
            <x v="1"/>
          </reference>
          <reference field="5"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5" count="1" selected="0">
            <x v="0"/>
          </reference>
        </references>
      </pivotArea>
    </chartFormat>
    <chartFormat chart="11" format="14">
      <pivotArea type="data" outline="0" fieldPosition="0">
        <references count="2">
          <reference field="4294967294" count="1" selected="0">
            <x v="0"/>
          </reference>
          <reference field="5" count="1" selected="0">
            <x v="1"/>
          </reference>
        </references>
      </pivotArea>
    </chartFormat>
    <chartFormat chart="11" format="15" series="1">
      <pivotArea type="data" outline="0" fieldPosition="0">
        <references count="1">
          <reference field="4294967294" count="1" selected="0">
            <x v="1"/>
          </reference>
        </references>
      </pivotArea>
    </chartFormat>
    <chartFormat chart="11" format="16">
      <pivotArea type="data" outline="0" fieldPosition="0">
        <references count="2">
          <reference field="4294967294" count="1" selected="0">
            <x v="1"/>
          </reference>
          <reference field="5" count="1" selected="0">
            <x v="0"/>
          </reference>
        </references>
      </pivotArea>
    </chartFormat>
    <chartFormat chart="11"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4A9E0A8-2286-4476-9821-AAD2AF1FA073}" sourceName="Department">
  <pivotTables>
    <pivotTable tabId="2" name="PivotTable1"/>
  </pivotTables>
  <data>
    <tabular pivotCacheId="1908492841">
      <items count="6">
        <i x="4" s="1"/>
        <i x="2" s="1"/>
        <i x="1" s="1"/>
        <i x="5"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1B7200-E337-45FC-98B5-AB2381B6D92D}" sourceName="Gender">
  <pivotTables>
    <pivotTable tabId="2" name="PivotTable1"/>
  </pivotTables>
  <data>
    <tabular pivotCacheId="190849284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01B1778-5AE9-45F1-A9D1-42F918124533}" sourceName="Department">
  <pivotTables>
    <pivotTable tabId="3" name="PivotTable2"/>
  </pivotTables>
  <data>
    <tabular pivotCacheId="1908492841">
      <items count="6">
        <i x="4" s="1"/>
        <i x="2" s="1"/>
        <i x="1" s="1"/>
        <i x="5"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55006B1-FF7E-4D59-92F3-CD4DC699D704}" sourceName="Gender">
  <pivotTables>
    <pivotTable tabId="3" name="PivotTable2"/>
  </pivotTables>
  <data>
    <tabular pivotCacheId="190849284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84916DE2-8B00-4EAF-801F-0193B35E48DD}" sourceName="Performance_Rating">
  <pivotTables>
    <pivotTable tabId="3" name="PivotTable2"/>
  </pivotTables>
  <data>
    <tabular pivotCacheId="1908492841">
      <items count="4">
        <i x="1" s="1"/>
        <i x="2"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9277487D-5A74-482C-A35A-43DF96C1B84D}" sourceName="Salary_Band">
  <pivotTables>
    <pivotTable tabId="4" name="PivotTable3"/>
  </pivotTables>
  <data>
    <tabular pivotCacheId="1908492841">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EF53BC21-2FF7-42CA-9884-EF2D2EDF0A6F}" sourceName="Department">
  <pivotTables>
    <pivotTable tabId="4" name="PivotTable3"/>
  </pivotTables>
  <data>
    <tabular pivotCacheId="1908492841">
      <items count="6">
        <i x="4" s="1"/>
        <i x="2" s="1"/>
        <i x="1" s="1"/>
        <i x="5"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ience_category" xr10:uid="{FC6DD654-29D7-4D80-B646-BBDB69965842}" sourceName="Exerience_category">
  <pivotTables>
    <pivotTable tabId="4" name="PivotTable3"/>
  </pivotTables>
  <data>
    <tabular pivotCacheId="1908492841">
      <items count="3">
        <i x="1"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DF34F1A3-3F90-418E-907A-EA76116BA6A8}" sourceName="Department">
  <data>
    <tabular pivotCacheId="1908492841">
      <items count="6">
        <i x="4" s="1"/>
        <i x="2" s="1"/>
        <i x="1" s="1"/>
        <i x="5" s="1"/>
        <i x="0"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E9FC6A8A-5740-43C5-9FF5-FEE29A258505}" sourceName="Location">
  <data>
    <tabular pivotCacheId="1908492841">
      <items count="6">
        <i x="1" s="1"/>
        <i x="3" s="1"/>
        <i x="5" s="1"/>
        <i x="4" s="1"/>
        <i x="2"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9D380EE-B322-4388-98DE-CCAF6172AB3B}" sourceName="Gender">
  <data>
    <tabular pivotCacheId="1908492841">
      <items count="2">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E16AE385-9BC7-4F90-8F11-53CA964C4074}" sourceName="Gender">
  <pivotTables>
    <pivotTable tabId="6" name="PivotTable4"/>
  </pivotTables>
  <data>
    <tabular pivotCacheId="1908492841">
      <items count="2">
        <i x="1"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4" xr10:uid="{C01CE18F-D370-424D-AF44-F693B4F184EF}" sourceName="Department">
  <pivotTables>
    <pivotTable tabId="6" name="PivotTable4"/>
  </pivotTables>
  <data>
    <tabular pivotCacheId="1908492841">
      <items count="6">
        <i x="4" s="1"/>
        <i x="2" s="1"/>
        <i x="1" s="1"/>
        <i x="5" s="1"/>
        <i x="0" s="1"/>
        <i x="3"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4" xr10:uid="{3CA5BD96-4ECC-4544-B902-B9A998A4561F}" sourceName="Gender">
  <pivotTables>
    <pivotTable tabId="6" name="PivotTable1"/>
  </pivotTables>
  <data>
    <tabular pivotCacheId="1908492841">
      <items count="2">
        <i x="1"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6479F00-4FAC-4356-B53C-C8168DEC3653}" sourceName="Education">
  <pivotTables>
    <pivotTable tabId="6" name="PivotTable1"/>
  </pivotTables>
  <data>
    <tabular pivotCacheId="1908492841">
      <items count="5">
        <i x="0" s="1"/>
        <i x="4" s="1"/>
        <i x="3" s="1"/>
        <i x="1" s="1"/>
        <i x="2"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1" xr10:uid="{3CE89187-63EF-48EE-8EA5-83C7CDD46A32}" sourceName="Salary_Band">
  <pivotTables>
    <pivotTable tabId="5" name="PivotTable2"/>
  </pivotTables>
  <data>
    <tabular pivotCacheId="1908492841">
      <items count="3">
        <i x="2" s="1"/>
        <i x="1" s="1"/>
        <i x="0"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CDA280F8-F5DE-4C4F-9519-159C19B5464F}" sourceName="Role">
  <pivotTables>
    <pivotTable tabId="2" name="PivotTable4"/>
  </pivotTables>
  <data>
    <tabular pivotCacheId="1908492841">
      <items count="5">
        <i x="1" s="1"/>
        <i x="3"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850BC4B-B94F-404B-935C-2787B3F6D3E9}" cache="Slicer_Department1" caption="Department" rowHeight="247650"/>
  <slicer name="Gender 1" xr10:uid="{D50B4D1A-7AC1-410B-94D2-E21EE958E7D7}" cache="Slicer_Gender1" caption="Gender" rowHeight="247650"/>
  <slicer name="Performance_Rating" xr10:uid="{04CA7DD5-9AF6-46D6-9668-ED7EDAFB9A5C}" cache="Slicer_Performance_Rating" caption="Performance_Rating"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ary_Band" xr10:uid="{23D48148-7930-4046-8F27-A3369249725E}" cache="Slicer_Salary_Band" caption="Salary_Band" rowHeight="247650"/>
  <slicer name="Department 2" xr10:uid="{D62AB504-972E-4255-9918-8E3F8620507C}" cache="Slicer_Department2" caption="Department" rowHeight="247650"/>
  <slicer name="Exerience_category" xr10:uid="{D0EDAF54-C432-4330-8FC3-C7B694F61C18}" cache="Slicer_Exerience_category" caption="Exerience_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08DE4DB-C6CC-4D27-9B40-BF284B699624}" cache="Slicer_Department" caption="Department" rowHeight="247650"/>
  <slicer name="Gender" xr10:uid="{04384707-AF75-4175-B8CE-26BAE3F73710}" cache="Slicer_Gender" caption="Gender" rowHeight="247650"/>
  <slicer name="Role" xr10:uid="{2F1CF66E-79AE-4489-B373-8882A369988C}" cache="Slicer_Role" caption="Rol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30CECE5C-05DC-43D2-ACB2-BD0BF7B7EA39}" cache="Slicer_Department3" caption="Department" rowHeight="247650"/>
  <slicer name="Location 1" xr10:uid="{BEEB64AD-1318-4982-8D61-392298303BBC}" cache="Slicer_Location1" caption="Location" rowHeight="247650"/>
  <slicer name="Gender 2" xr10:uid="{61E4434B-839E-44B3-9606-4B40DAE58F2E}" cache="Slicer_Gender2" caption="Gender" rowHeight="247650"/>
  <slicer name="Salary_Band 1" xr10:uid="{EE8806E7-3C01-4246-AB12-DA2C8AF50A6B}" cache="Slicer_Salary_Band1" caption="Salary_Band"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FA198534-B65B-44F2-9FAB-8E388F462161}" cache="Slicer_Gender3" caption="Gender" rowHeight="247650"/>
  <slicer name="Department 4" xr10:uid="{5B023111-8DFD-43E8-8843-1615F13919E2}" cache="Slicer_Department4" caption="Department" rowHeight="247650"/>
  <slicer name="Gender 4" xr10:uid="{E840A42A-4DE6-4F9A-8EDB-C6597494174D}" cache="Slicer_Gender4" caption="Gender" rowHeight="247650"/>
  <slicer name="Education" xr10:uid="{7208B309-6B0B-4019-9B6C-398477BD00BE}" cache="Slicer_Education" caption="Education"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5" xr10:uid="{DE85F4DD-9C30-4875-841A-4BA3AACD3AB9}" cache="Slicer_Department" caption="Department" rowHeight="247650"/>
  <slicer name="Department 6" xr10:uid="{665DEB39-4524-45FF-87B3-46453AA39B0D}" cache="Slicer_Department" caption="Department" rowHeight="247650"/>
  <slicer name="Department 7" xr10:uid="{070B4941-50A3-4F21-9384-FCC32E93897C}" cache="Slicer_Department" caption="Department" rowHeight="247650"/>
  <slicer name="Gender 5" xr10:uid="{F90D40DA-5155-4E6B-AB1B-247F5348AA10}" cache="Slicer_Gender" caption="Gender" rowHeight="247650"/>
  <slicer name="Gender 6" xr10:uid="{6858D8C2-B6C7-40DA-B745-3088697B5F6B}" cache="Slicer_Gender" caption="Gender" rowHeight="247650"/>
  <slicer name="Performance_Rating 1" xr10:uid="{CD4EECCB-51B6-46BE-9A25-B77FDEB8A140}" cache="Slicer_Performance_Rating" caption="Performance_Rating" rowHeight="247650"/>
  <slicer name="Salary_Band 2" xr10:uid="{C64675F2-B7BD-41A9-BA1F-8481E6D2F464}" cache="Slicer_Salary_Band" caption="Salary_Band" rowHeight="247650"/>
  <slicer name="Salary_Band 3" xr10:uid="{E0EE72A9-3655-4897-A5A1-D8425FC34F63}" cache="Slicer_Salary_Band" caption="Salary_Band" rowHeight="247650"/>
  <slicer name="Exerience_category 1" xr10:uid="{F4B8A575-5E3C-4A7D-92AE-D9CB6E03FFFE}" cache="Slicer_Exerience_category" caption="Exerience_category" rowHeight="247650"/>
  <slicer name="Exerience_category 2" xr10:uid="{6964F488-7813-4DF8-BB10-A2364F64072E}" cache="Slicer_Exerience_category" caption="Exerience_category" rowHeight="247650"/>
  <slicer name="Location 3" xr10:uid="{80BCB64B-57B3-4491-B4AE-8C0D8B665AC8}" cache="Slicer_Location1" caption="Location" rowHeight="247650"/>
  <slicer name="Gender 7" xr10:uid="{FAAE3509-3072-4029-91E2-CB20F7BD8AC9}" cache="Slicer_Gender3" caption="Gender" rowHeight="247650"/>
  <slicer name="Department 8" xr10:uid="{D7F95474-4C24-4E98-A2BE-47D16912CAFA}" cache="Slicer_Department4" caption="Department" rowHeight="247650"/>
  <slicer name="Education 2" xr10:uid="{5BBF45C3-F7D4-4BA5-BDB8-3870F065EB7D}" cache="Slicer_Education" caption="Education" rowHeight="247650"/>
  <slicer name="Salary_Band 4" xr10:uid="{1327528F-CC43-4EFB-9F61-9B8ED01D5FE5}" cache="Slicer_Salary_Band1" caption="Salary_Band" rowHeight="247650"/>
  <slicer name="Role 1" xr10:uid="{ABE724C6-4870-4C58-940D-85D17A4558BB}" cache="Slicer_Role" caption="Rol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8DBB9F-067B-4D66-8C57-6BD43C1F5254}" name="Table1" displayName="Table1" ref="A1:W121" totalsRowShown="0" headerRowDxfId="14">
  <tableColumns count="23">
    <tableColumn id="1" xr3:uid="{8C80896A-5894-4BC1-A4BA-32EF315F6097}" name="Emp_ID"/>
    <tableColumn id="2" xr3:uid="{B5BB42B1-38ED-478C-8DC2-C23D63A530E7}" name="Name"/>
    <tableColumn id="3" xr3:uid="{D92C7410-8E1C-4824-8017-179BDC36680D}" name="Department"/>
    <tableColumn id="4" xr3:uid="{8B62C8E7-FB86-48A1-A1F5-79ADD333DC84}" name="Role"/>
    <tableColumn id="5" xr3:uid="{C783AD3C-95E9-4C4C-80C5-0217D2F33C93}" name="Location"/>
    <tableColumn id="6" xr3:uid="{837A9A7E-368A-48B8-BE88-1FA571D5E08D}" name="Gender"/>
    <tableColumn id="7" xr3:uid="{C3569D13-BA7A-4579-98FE-ECB64060F512}" name="Experience_Years"/>
    <tableColumn id="8" xr3:uid="{694CAAFF-AC0C-4208-A276-9CFDDE697C5A}" name="Education"/>
    <tableColumn id="9" xr3:uid="{EFE04F66-0470-4040-9221-8347E1062F94}" name="Base_Salary"/>
    <tableColumn id="10" xr3:uid="{92BAF3E5-D24E-4796-BC56-BEED53700173}" name="Bonus"/>
    <tableColumn id="11" xr3:uid="{241212BD-E49E-40AB-9ADF-34E046EBBE02}" name="Overtime_Pay"/>
    <tableColumn id="12" xr3:uid="{B1CBC8DC-A674-49BA-9658-465A515A9ABC}" name="Allowances"/>
    <tableColumn id="13" xr3:uid="{BF17E62E-B768-4948-9243-937D02AFCCF1}" name="Deductions"/>
    <tableColumn id="14" xr3:uid="{441E07F6-65F1-4C9F-BC2A-7ECEA3691F3B}" name="Tax"/>
    <tableColumn id="15" xr3:uid="{8D134F82-E9D8-45F3-BF6E-2F36E4AEFDC2}" name="Net_Salary">
      <calculatedColumnFormula>I2+J2+K2+L2-M2-N2</calculatedColumnFormula>
    </tableColumn>
    <tableColumn id="16" xr3:uid="{513EB5C8-4ED0-4A3C-86D8-C3B452BC9996}" name="Performance_Rating"/>
    <tableColumn id="17" xr3:uid="{0DC1AA94-FBAA-4530-BD5A-21BD35C2E17A}" name="Projects_Handled"/>
    <tableColumn id="18" xr3:uid="{F0826479-8538-4D76-943A-CF3EE526D712}" name="Leaves_Taken"/>
    <tableColumn id="19" xr3:uid="{2B866C24-2883-4F20-B626-59C791AC2D44}" name="Promotion_Last_Year"/>
    <tableColumn id="20" xr3:uid="{E43EC601-73B2-45F2-B9FA-8FA307C79D1A}" name="Joining_Date"/>
    <tableColumn id="21" xr3:uid="{8E01C06D-BED0-48D4-AF38-7F438D0DFC79}" name="Salary_Band">
      <calculatedColumnFormula>IF(O2&lt;40000,"low",IF(O2&lt;70000,"medium","high"))</calculatedColumnFormula>
    </tableColumn>
    <tableColumn id="22" xr3:uid="{956558F6-FE3E-4694-B5CE-41052720FD03}" name="Exerience_category">
      <calculatedColumnFormula>IF(G2&lt;3,"junior",IF(G2&lt;7,"mid-level,","senior"))</calculatedColumnFormula>
    </tableColumn>
    <tableColumn id="23" xr3:uid="{5C7C9A13-83E1-4EE5-9188-031FE87F1B1B}" name="PF" dataDxfId="13">
      <calculatedColumnFormula>Table1[[#This Row],[Base_Salary]]*12%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4.xml"/><Relationship Id="rId5" Type="http://schemas.openxmlformats.org/officeDocument/2006/relationships/drawing" Target="../drawings/drawing4.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F21A4-B84B-437D-B06D-C74F7ABCA607}">
  <dimension ref="A1:W121"/>
  <sheetViews>
    <sheetView zoomScale="77" zoomScaleNormal="45" workbookViewId="0">
      <selection activeCell="AA15" sqref="AA15"/>
    </sheetView>
  </sheetViews>
  <sheetFormatPr defaultRowHeight="14.4" x14ac:dyDescent="0.3"/>
  <cols>
    <col min="1" max="1" width="11.6640625" customWidth="1"/>
    <col min="2" max="2" width="12.88671875" customWidth="1"/>
    <col min="3" max="3" width="15.6640625" customWidth="1"/>
    <col min="4" max="4" width="12.6640625" customWidth="1"/>
    <col min="5" max="5" width="14.109375" customWidth="1"/>
    <col min="6" max="6" width="11.33203125" customWidth="1"/>
    <col min="7" max="7" width="23.109375" customWidth="1"/>
    <col min="8" max="8" width="14.6640625" customWidth="1"/>
    <col min="9" max="9" width="16.88671875" customWidth="1"/>
    <col min="10" max="10" width="13.88671875" customWidth="1"/>
    <col min="11" max="11" width="18.6640625" customWidth="1"/>
    <col min="12" max="13" width="15.5546875" customWidth="1"/>
    <col min="14" max="14" width="11.88671875" customWidth="1"/>
    <col min="15" max="15" width="15" customWidth="1"/>
    <col min="16" max="16" width="25.6640625" customWidth="1"/>
    <col min="17" max="17" width="22.5546875" customWidth="1"/>
    <col min="18" max="18" width="19" customWidth="1"/>
    <col min="19" max="19" width="26.5546875" customWidth="1"/>
    <col min="20" max="20" width="17.5546875" customWidth="1"/>
    <col min="21" max="21" width="17.33203125" customWidth="1"/>
    <col min="22" max="22" width="24.6640625" customWidth="1"/>
  </cols>
  <sheetData>
    <row r="1" spans="1:23"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3">
      <c r="A2">
        <v>1001</v>
      </c>
      <c r="B2" t="s">
        <v>23</v>
      </c>
      <c r="C2" t="s">
        <v>24</v>
      </c>
      <c r="D2" t="s">
        <v>25</v>
      </c>
      <c r="E2" t="s">
        <v>26</v>
      </c>
      <c r="F2" t="s">
        <v>27</v>
      </c>
      <c r="G2">
        <v>8</v>
      </c>
      <c r="H2" t="s">
        <v>28</v>
      </c>
      <c r="I2">
        <v>40106</v>
      </c>
      <c r="J2">
        <v>7248</v>
      </c>
      <c r="K2">
        <v>979</v>
      </c>
      <c r="L2">
        <v>4773</v>
      </c>
      <c r="M2">
        <v>2062</v>
      </c>
      <c r="N2">
        <v>4010</v>
      </c>
      <c r="O2">
        <f>I2+J2+K2+L2-M2-N2</f>
        <v>47034</v>
      </c>
      <c r="P2">
        <v>5</v>
      </c>
      <c r="Q2">
        <v>4</v>
      </c>
      <c r="R2">
        <v>14</v>
      </c>
      <c r="S2" t="s">
        <v>29</v>
      </c>
      <c r="T2" t="s">
        <v>30</v>
      </c>
      <c r="U2" t="str">
        <f>IF(O2&lt;40000,"low",IF(O2&lt;70000,"medium","high"))</f>
        <v>medium</v>
      </c>
      <c r="V2" t="str">
        <f>IF(G2&lt;3,"junior",IF(G2&lt;7,"mid-level,","senior"))</f>
        <v>senior</v>
      </c>
      <c r="W2">
        <f>Table1[[#This Row],[Base_Salary]]*12%</f>
        <v>4812.72</v>
      </c>
    </row>
    <row r="3" spans="1:23" x14ac:dyDescent="0.3">
      <c r="A3">
        <v>1002</v>
      </c>
      <c r="B3" t="s">
        <v>31</v>
      </c>
      <c r="C3" t="s">
        <v>24</v>
      </c>
      <c r="D3" t="s">
        <v>32</v>
      </c>
      <c r="E3" t="s">
        <v>33</v>
      </c>
      <c r="F3" t="s">
        <v>27</v>
      </c>
      <c r="G3">
        <v>1</v>
      </c>
      <c r="H3" t="s">
        <v>34</v>
      </c>
      <c r="I3">
        <v>45972</v>
      </c>
      <c r="J3">
        <v>6044</v>
      </c>
      <c r="K3">
        <v>3280</v>
      </c>
      <c r="L3">
        <v>5515</v>
      </c>
      <c r="M3">
        <v>4921</v>
      </c>
      <c r="N3">
        <v>4597</v>
      </c>
      <c r="O3">
        <f t="shared" ref="O3:O66" si="0">I3+J3+K3+L3-M3-N3</f>
        <v>51293</v>
      </c>
      <c r="P3">
        <v>2</v>
      </c>
      <c r="Q3">
        <v>1</v>
      </c>
      <c r="R3">
        <v>6</v>
      </c>
      <c r="S3" t="s">
        <v>29</v>
      </c>
      <c r="T3" t="s">
        <v>35</v>
      </c>
      <c r="U3" t="str">
        <f t="shared" ref="U3:U66" si="1">IF(O3&lt;40000,"low",IF(O3&lt;70000,"medium","high"))</f>
        <v>medium</v>
      </c>
      <c r="V3" t="str">
        <f t="shared" ref="V3:V66" si="2">IF(G3&lt;3,"junior",IF(G3&lt;7,"mid-level,","senior"))</f>
        <v>junior</v>
      </c>
      <c r="W3">
        <f>Table1[[#This Row],[Base_Salary]]*12%</f>
        <v>5516.6399999999994</v>
      </c>
    </row>
    <row r="4" spans="1:23" x14ac:dyDescent="0.3">
      <c r="A4">
        <v>1003</v>
      </c>
      <c r="B4" t="s">
        <v>36</v>
      </c>
      <c r="C4" t="s">
        <v>37</v>
      </c>
      <c r="D4" t="s">
        <v>38</v>
      </c>
      <c r="E4" t="s">
        <v>33</v>
      </c>
      <c r="F4" t="s">
        <v>27</v>
      </c>
      <c r="G4">
        <v>1</v>
      </c>
      <c r="H4" t="s">
        <v>34</v>
      </c>
      <c r="I4">
        <v>56585</v>
      </c>
      <c r="J4">
        <v>4737</v>
      </c>
      <c r="K4">
        <v>3532</v>
      </c>
      <c r="L4">
        <v>4617</v>
      </c>
      <c r="M4">
        <v>4359</v>
      </c>
      <c r="N4">
        <v>5658</v>
      </c>
      <c r="O4">
        <f t="shared" si="0"/>
        <v>59454</v>
      </c>
      <c r="P4">
        <v>3</v>
      </c>
      <c r="Q4">
        <v>1</v>
      </c>
      <c r="R4">
        <v>2</v>
      </c>
      <c r="S4" t="s">
        <v>39</v>
      </c>
      <c r="T4" t="s">
        <v>40</v>
      </c>
      <c r="U4" t="str">
        <f t="shared" si="1"/>
        <v>medium</v>
      </c>
      <c r="V4" t="str">
        <f t="shared" si="2"/>
        <v>junior</v>
      </c>
      <c r="W4">
        <f>Table1[[#This Row],[Base_Salary]]*12%</f>
        <v>6790.2</v>
      </c>
    </row>
    <row r="5" spans="1:23" x14ac:dyDescent="0.3">
      <c r="A5">
        <v>1004</v>
      </c>
      <c r="B5" t="s">
        <v>41</v>
      </c>
      <c r="C5" t="s">
        <v>42</v>
      </c>
      <c r="D5" t="s">
        <v>32</v>
      </c>
      <c r="E5" t="s">
        <v>33</v>
      </c>
      <c r="F5" t="s">
        <v>43</v>
      </c>
      <c r="G5">
        <v>2</v>
      </c>
      <c r="H5" t="s">
        <v>28</v>
      </c>
      <c r="I5">
        <v>38976</v>
      </c>
      <c r="J5">
        <v>2051</v>
      </c>
      <c r="K5">
        <v>1561</v>
      </c>
      <c r="L5">
        <v>4739</v>
      </c>
      <c r="M5">
        <v>1619</v>
      </c>
      <c r="N5">
        <v>3897</v>
      </c>
      <c r="O5">
        <f t="shared" si="0"/>
        <v>41811</v>
      </c>
      <c r="P5">
        <v>3</v>
      </c>
      <c r="Q5">
        <v>6</v>
      </c>
      <c r="R5">
        <v>7</v>
      </c>
      <c r="S5" t="s">
        <v>29</v>
      </c>
      <c r="T5" t="s">
        <v>44</v>
      </c>
      <c r="U5" t="str">
        <f t="shared" si="1"/>
        <v>medium</v>
      </c>
      <c r="V5" t="str">
        <f t="shared" si="2"/>
        <v>junior</v>
      </c>
      <c r="W5">
        <f>Table1[[#This Row],[Base_Salary]]*12%</f>
        <v>4677.12</v>
      </c>
    </row>
    <row r="6" spans="1:23" x14ac:dyDescent="0.3">
      <c r="A6">
        <v>1005</v>
      </c>
      <c r="B6" t="s">
        <v>45</v>
      </c>
      <c r="C6" t="s">
        <v>46</v>
      </c>
      <c r="D6" t="s">
        <v>25</v>
      </c>
      <c r="E6" t="s">
        <v>47</v>
      </c>
      <c r="F6" t="s">
        <v>27</v>
      </c>
      <c r="G6">
        <v>6</v>
      </c>
      <c r="H6" t="s">
        <v>48</v>
      </c>
      <c r="I6">
        <v>62697</v>
      </c>
      <c r="J6">
        <v>8859</v>
      </c>
      <c r="K6">
        <v>1268</v>
      </c>
      <c r="L6">
        <v>4862</v>
      </c>
      <c r="M6">
        <v>3459</v>
      </c>
      <c r="N6">
        <v>6269</v>
      </c>
      <c r="O6">
        <f t="shared" si="0"/>
        <v>67958</v>
      </c>
      <c r="P6">
        <v>3</v>
      </c>
      <c r="Q6">
        <v>9</v>
      </c>
      <c r="R6">
        <v>3</v>
      </c>
      <c r="S6" t="s">
        <v>39</v>
      </c>
      <c r="T6" t="s">
        <v>49</v>
      </c>
      <c r="U6" t="str">
        <f t="shared" si="1"/>
        <v>medium</v>
      </c>
      <c r="V6" t="str">
        <f t="shared" si="2"/>
        <v>mid-level,</v>
      </c>
      <c r="W6">
        <f>Table1[[#This Row],[Base_Salary]]*12%</f>
        <v>7523.6399999999994</v>
      </c>
    </row>
    <row r="7" spans="1:23" x14ac:dyDescent="0.3">
      <c r="A7">
        <v>1006</v>
      </c>
      <c r="B7" t="s">
        <v>50</v>
      </c>
      <c r="C7" t="s">
        <v>51</v>
      </c>
      <c r="D7" t="s">
        <v>25</v>
      </c>
      <c r="E7" t="s">
        <v>52</v>
      </c>
      <c r="F7" t="s">
        <v>27</v>
      </c>
      <c r="G7">
        <v>5</v>
      </c>
      <c r="H7" t="s">
        <v>53</v>
      </c>
      <c r="I7">
        <v>43292</v>
      </c>
      <c r="J7">
        <v>2433</v>
      </c>
      <c r="K7">
        <v>2844</v>
      </c>
      <c r="L7">
        <v>5138</v>
      </c>
      <c r="M7">
        <v>3762</v>
      </c>
      <c r="N7">
        <v>4329</v>
      </c>
      <c r="O7">
        <f t="shared" si="0"/>
        <v>45616</v>
      </c>
      <c r="P7">
        <v>5</v>
      </c>
      <c r="Q7">
        <v>10</v>
      </c>
      <c r="R7">
        <v>2</v>
      </c>
      <c r="S7" t="s">
        <v>29</v>
      </c>
      <c r="T7" t="s">
        <v>54</v>
      </c>
      <c r="U7" t="str">
        <f t="shared" si="1"/>
        <v>medium</v>
      </c>
      <c r="V7" t="str">
        <f t="shared" si="2"/>
        <v>mid-level,</v>
      </c>
      <c r="W7">
        <f>Table1[[#This Row],[Base_Salary]]*12%</f>
        <v>5195.04</v>
      </c>
    </row>
    <row r="8" spans="1:23" x14ac:dyDescent="0.3">
      <c r="A8">
        <v>1007</v>
      </c>
      <c r="B8" t="s">
        <v>23</v>
      </c>
      <c r="C8" t="s">
        <v>51</v>
      </c>
      <c r="D8" t="s">
        <v>38</v>
      </c>
      <c r="E8" t="s">
        <v>26</v>
      </c>
      <c r="F8" t="s">
        <v>27</v>
      </c>
      <c r="G8">
        <v>7</v>
      </c>
      <c r="H8" t="s">
        <v>48</v>
      </c>
      <c r="I8">
        <v>30494</v>
      </c>
      <c r="J8">
        <v>3828</v>
      </c>
      <c r="K8">
        <v>3514</v>
      </c>
      <c r="L8">
        <v>5650</v>
      </c>
      <c r="M8">
        <v>1299</v>
      </c>
      <c r="N8">
        <v>3049</v>
      </c>
      <c r="O8">
        <f t="shared" si="0"/>
        <v>39138</v>
      </c>
      <c r="P8">
        <v>5</v>
      </c>
      <c r="Q8">
        <v>7</v>
      </c>
      <c r="R8">
        <v>13</v>
      </c>
      <c r="S8" t="s">
        <v>39</v>
      </c>
      <c r="T8" t="s">
        <v>55</v>
      </c>
      <c r="U8" t="str">
        <f t="shared" si="1"/>
        <v>low</v>
      </c>
      <c r="V8" t="str">
        <f t="shared" si="2"/>
        <v>senior</v>
      </c>
      <c r="W8">
        <f>Table1[[#This Row],[Base_Salary]]*12%</f>
        <v>3659.2799999999997</v>
      </c>
    </row>
    <row r="9" spans="1:23" x14ac:dyDescent="0.3">
      <c r="A9">
        <v>1008</v>
      </c>
      <c r="B9" t="s">
        <v>56</v>
      </c>
      <c r="C9" t="s">
        <v>51</v>
      </c>
      <c r="D9" t="s">
        <v>25</v>
      </c>
      <c r="E9" t="s">
        <v>33</v>
      </c>
      <c r="F9" t="s">
        <v>43</v>
      </c>
      <c r="G9">
        <v>1</v>
      </c>
      <c r="H9" t="s">
        <v>34</v>
      </c>
      <c r="I9">
        <v>67982</v>
      </c>
      <c r="J9">
        <v>2767</v>
      </c>
      <c r="K9">
        <v>3235</v>
      </c>
      <c r="L9">
        <v>4652</v>
      </c>
      <c r="M9">
        <v>2404</v>
      </c>
      <c r="N9">
        <v>6798</v>
      </c>
      <c r="O9">
        <f t="shared" si="0"/>
        <v>69434</v>
      </c>
      <c r="P9">
        <v>3</v>
      </c>
      <c r="Q9">
        <v>1</v>
      </c>
      <c r="R9">
        <v>6</v>
      </c>
      <c r="S9" t="s">
        <v>39</v>
      </c>
      <c r="T9" t="s">
        <v>57</v>
      </c>
      <c r="U9" t="str">
        <f t="shared" si="1"/>
        <v>medium</v>
      </c>
      <c r="V9" t="str">
        <f t="shared" si="2"/>
        <v>junior</v>
      </c>
      <c r="W9">
        <f>Table1[[#This Row],[Base_Salary]]*12%</f>
        <v>8157.84</v>
      </c>
    </row>
    <row r="10" spans="1:23" x14ac:dyDescent="0.3">
      <c r="A10">
        <v>1009</v>
      </c>
      <c r="B10" t="s">
        <v>58</v>
      </c>
      <c r="C10" t="s">
        <v>42</v>
      </c>
      <c r="D10" t="s">
        <v>59</v>
      </c>
      <c r="E10" t="s">
        <v>47</v>
      </c>
      <c r="F10" t="s">
        <v>43</v>
      </c>
      <c r="G10">
        <v>9</v>
      </c>
      <c r="H10" t="s">
        <v>34</v>
      </c>
      <c r="I10">
        <v>51132</v>
      </c>
      <c r="J10">
        <v>3454</v>
      </c>
      <c r="K10">
        <v>2295</v>
      </c>
      <c r="L10">
        <v>2313</v>
      </c>
      <c r="M10">
        <v>2930</v>
      </c>
      <c r="N10">
        <v>5113</v>
      </c>
      <c r="O10">
        <f t="shared" si="0"/>
        <v>51151</v>
      </c>
      <c r="P10">
        <v>2</v>
      </c>
      <c r="Q10">
        <v>6</v>
      </c>
      <c r="R10">
        <v>2</v>
      </c>
      <c r="S10" t="s">
        <v>39</v>
      </c>
      <c r="T10" t="s">
        <v>60</v>
      </c>
      <c r="U10" t="str">
        <f t="shared" si="1"/>
        <v>medium</v>
      </c>
      <c r="V10" t="str">
        <f t="shared" si="2"/>
        <v>senior</v>
      </c>
      <c r="W10">
        <f>Table1[[#This Row],[Base_Salary]]*12%</f>
        <v>6135.84</v>
      </c>
    </row>
    <row r="11" spans="1:23" x14ac:dyDescent="0.3">
      <c r="A11">
        <v>1010</v>
      </c>
      <c r="B11" t="s">
        <v>61</v>
      </c>
      <c r="C11" t="s">
        <v>62</v>
      </c>
      <c r="D11" t="s">
        <v>38</v>
      </c>
      <c r="E11" t="s">
        <v>33</v>
      </c>
      <c r="F11" t="s">
        <v>43</v>
      </c>
      <c r="G11">
        <v>10</v>
      </c>
      <c r="H11" t="s">
        <v>34</v>
      </c>
      <c r="I11">
        <v>71047</v>
      </c>
      <c r="J11">
        <v>3673</v>
      </c>
      <c r="K11">
        <v>1810</v>
      </c>
      <c r="L11">
        <v>3901</v>
      </c>
      <c r="M11">
        <v>4712</v>
      </c>
      <c r="N11">
        <v>7104</v>
      </c>
      <c r="O11">
        <f t="shared" si="0"/>
        <v>68615</v>
      </c>
      <c r="P11">
        <v>4</v>
      </c>
      <c r="Q11">
        <v>4</v>
      </c>
      <c r="R11">
        <v>14</v>
      </c>
      <c r="S11" t="s">
        <v>39</v>
      </c>
      <c r="T11" t="s">
        <v>63</v>
      </c>
      <c r="U11" t="str">
        <f t="shared" si="1"/>
        <v>medium</v>
      </c>
      <c r="V11" t="str">
        <f t="shared" si="2"/>
        <v>senior</v>
      </c>
      <c r="W11">
        <f>Table1[[#This Row],[Base_Salary]]*12%</f>
        <v>8525.64</v>
      </c>
    </row>
    <row r="12" spans="1:23" x14ac:dyDescent="0.3">
      <c r="A12">
        <v>1011</v>
      </c>
      <c r="B12" t="s">
        <v>64</v>
      </c>
      <c r="C12" t="s">
        <v>37</v>
      </c>
      <c r="D12" t="s">
        <v>32</v>
      </c>
      <c r="E12" t="s">
        <v>26</v>
      </c>
      <c r="F12" t="s">
        <v>27</v>
      </c>
      <c r="G12">
        <v>7</v>
      </c>
      <c r="H12" t="s">
        <v>65</v>
      </c>
      <c r="I12">
        <v>55073</v>
      </c>
      <c r="J12">
        <v>6872</v>
      </c>
      <c r="K12">
        <v>1999</v>
      </c>
      <c r="L12">
        <v>2274</v>
      </c>
      <c r="M12">
        <v>4926</v>
      </c>
      <c r="N12">
        <v>5507</v>
      </c>
      <c r="O12">
        <f t="shared" si="0"/>
        <v>55785</v>
      </c>
      <c r="P12">
        <v>2</v>
      </c>
      <c r="Q12">
        <v>7</v>
      </c>
      <c r="R12">
        <v>15</v>
      </c>
      <c r="S12" t="s">
        <v>39</v>
      </c>
      <c r="T12" t="s">
        <v>66</v>
      </c>
      <c r="U12" t="str">
        <f t="shared" si="1"/>
        <v>medium</v>
      </c>
      <c r="V12" t="str">
        <f t="shared" si="2"/>
        <v>senior</v>
      </c>
      <c r="W12">
        <f>Table1[[#This Row],[Base_Salary]]*12%</f>
        <v>6608.7599999999993</v>
      </c>
    </row>
    <row r="13" spans="1:23" x14ac:dyDescent="0.3">
      <c r="A13">
        <v>1012</v>
      </c>
      <c r="B13" t="s">
        <v>67</v>
      </c>
      <c r="C13" t="s">
        <v>37</v>
      </c>
      <c r="D13" t="s">
        <v>25</v>
      </c>
      <c r="E13" t="s">
        <v>47</v>
      </c>
      <c r="F13" t="s">
        <v>27</v>
      </c>
      <c r="G13">
        <v>5</v>
      </c>
      <c r="H13" t="s">
        <v>48</v>
      </c>
      <c r="I13">
        <v>73735</v>
      </c>
      <c r="J13">
        <v>3686</v>
      </c>
      <c r="K13">
        <v>2334</v>
      </c>
      <c r="L13">
        <v>4138</v>
      </c>
      <c r="M13">
        <v>1980</v>
      </c>
      <c r="N13">
        <v>7373</v>
      </c>
      <c r="O13">
        <f t="shared" si="0"/>
        <v>74540</v>
      </c>
      <c r="P13">
        <v>4</v>
      </c>
      <c r="Q13">
        <v>8</v>
      </c>
      <c r="R13">
        <v>3</v>
      </c>
      <c r="S13" t="s">
        <v>29</v>
      </c>
      <c r="T13" t="s">
        <v>68</v>
      </c>
      <c r="U13" t="str">
        <f t="shared" si="1"/>
        <v>high</v>
      </c>
      <c r="V13" t="str">
        <f t="shared" si="2"/>
        <v>mid-level,</v>
      </c>
      <c r="W13">
        <f>Table1[[#This Row],[Base_Salary]]*12%</f>
        <v>8848.1999999999989</v>
      </c>
    </row>
    <row r="14" spans="1:23" x14ac:dyDescent="0.3">
      <c r="A14">
        <v>1013</v>
      </c>
      <c r="B14" t="s">
        <v>69</v>
      </c>
      <c r="C14" t="s">
        <v>46</v>
      </c>
      <c r="D14" t="s">
        <v>70</v>
      </c>
      <c r="E14" t="s">
        <v>52</v>
      </c>
      <c r="F14" t="s">
        <v>27</v>
      </c>
      <c r="G14">
        <v>9</v>
      </c>
      <c r="H14" t="s">
        <v>34</v>
      </c>
      <c r="I14">
        <v>50205</v>
      </c>
      <c r="J14">
        <v>7655</v>
      </c>
      <c r="K14">
        <v>2027</v>
      </c>
      <c r="L14">
        <v>1440</v>
      </c>
      <c r="M14">
        <v>4952</v>
      </c>
      <c r="N14">
        <v>5020</v>
      </c>
      <c r="O14">
        <f t="shared" si="0"/>
        <v>51355</v>
      </c>
      <c r="P14">
        <v>2</v>
      </c>
      <c r="Q14">
        <v>8</v>
      </c>
      <c r="R14">
        <v>5</v>
      </c>
      <c r="S14" t="s">
        <v>39</v>
      </c>
      <c r="T14" t="s">
        <v>71</v>
      </c>
      <c r="U14" t="str">
        <f t="shared" si="1"/>
        <v>medium</v>
      </c>
      <c r="V14" t="str">
        <f t="shared" si="2"/>
        <v>senior</v>
      </c>
      <c r="W14">
        <f>Table1[[#This Row],[Base_Salary]]*12%</f>
        <v>6024.5999999999995</v>
      </c>
    </row>
    <row r="15" spans="1:23" x14ac:dyDescent="0.3">
      <c r="A15">
        <v>1014</v>
      </c>
      <c r="B15" t="s">
        <v>72</v>
      </c>
      <c r="C15" t="s">
        <v>37</v>
      </c>
      <c r="D15" t="s">
        <v>59</v>
      </c>
      <c r="E15" t="s">
        <v>47</v>
      </c>
      <c r="F15" t="s">
        <v>27</v>
      </c>
      <c r="G15">
        <v>7</v>
      </c>
      <c r="H15" t="s">
        <v>53</v>
      </c>
      <c r="I15">
        <v>37663</v>
      </c>
      <c r="J15">
        <v>3160</v>
      </c>
      <c r="K15">
        <v>2309</v>
      </c>
      <c r="L15">
        <v>1640</v>
      </c>
      <c r="M15">
        <v>4592</v>
      </c>
      <c r="N15">
        <v>3766</v>
      </c>
      <c r="O15">
        <f t="shared" si="0"/>
        <v>36414</v>
      </c>
      <c r="P15">
        <v>5</v>
      </c>
      <c r="Q15">
        <v>1</v>
      </c>
      <c r="R15">
        <v>4</v>
      </c>
      <c r="S15" t="s">
        <v>39</v>
      </c>
      <c r="T15" t="s">
        <v>73</v>
      </c>
      <c r="U15" t="str">
        <f t="shared" si="1"/>
        <v>low</v>
      </c>
      <c r="V15" t="str">
        <f t="shared" si="2"/>
        <v>senior</v>
      </c>
      <c r="W15">
        <f>Table1[[#This Row],[Base_Salary]]*12%</f>
        <v>4519.5599999999995</v>
      </c>
    </row>
    <row r="16" spans="1:23" x14ac:dyDescent="0.3">
      <c r="A16">
        <v>1015</v>
      </c>
      <c r="B16" t="s">
        <v>74</v>
      </c>
      <c r="C16" t="s">
        <v>37</v>
      </c>
      <c r="D16" t="s">
        <v>59</v>
      </c>
      <c r="E16" t="s">
        <v>75</v>
      </c>
      <c r="F16" t="s">
        <v>43</v>
      </c>
      <c r="G16">
        <v>1</v>
      </c>
      <c r="H16" t="s">
        <v>65</v>
      </c>
      <c r="I16">
        <v>62523</v>
      </c>
      <c r="J16">
        <v>5831</v>
      </c>
      <c r="K16">
        <v>2285</v>
      </c>
      <c r="L16">
        <v>4030</v>
      </c>
      <c r="M16">
        <v>3853</v>
      </c>
      <c r="N16">
        <v>6252</v>
      </c>
      <c r="O16">
        <f t="shared" si="0"/>
        <v>64564</v>
      </c>
      <c r="P16">
        <v>4</v>
      </c>
      <c r="Q16">
        <v>6</v>
      </c>
      <c r="R16">
        <v>2</v>
      </c>
      <c r="S16" t="s">
        <v>29</v>
      </c>
      <c r="T16" t="s">
        <v>76</v>
      </c>
      <c r="U16" t="str">
        <f t="shared" si="1"/>
        <v>medium</v>
      </c>
      <c r="V16" t="str">
        <f t="shared" si="2"/>
        <v>junior</v>
      </c>
      <c r="W16">
        <f>Table1[[#This Row],[Base_Salary]]*12%</f>
        <v>7502.7599999999993</v>
      </c>
    </row>
    <row r="17" spans="1:23" x14ac:dyDescent="0.3">
      <c r="A17">
        <v>1016</v>
      </c>
      <c r="B17" t="s">
        <v>77</v>
      </c>
      <c r="C17" t="s">
        <v>62</v>
      </c>
      <c r="D17" t="s">
        <v>25</v>
      </c>
      <c r="E17" t="s">
        <v>26</v>
      </c>
      <c r="F17" t="s">
        <v>27</v>
      </c>
      <c r="G17">
        <v>6</v>
      </c>
      <c r="H17" t="s">
        <v>28</v>
      </c>
      <c r="I17">
        <v>30176</v>
      </c>
      <c r="J17">
        <v>9254</v>
      </c>
      <c r="K17">
        <v>1672</v>
      </c>
      <c r="L17">
        <v>1159</v>
      </c>
      <c r="M17">
        <v>3698</v>
      </c>
      <c r="N17">
        <v>3017</v>
      </c>
      <c r="O17">
        <f t="shared" si="0"/>
        <v>35546</v>
      </c>
      <c r="P17">
        <v>2</v>
      </c>
      <c r="Q17">
        <v>1</v>
      </c>
      <c r="R17">
        <v>13</v>
      </c>
      <c r="S17" t="s">
        <v>39</v>
      </c>
      <c r="T17" t="s">
        <v>78</v>
      </c>
      <c r="U17" t="str">
        <f t="shared" si="1"/>
        <v>low</v>
      </c>
      <c r="V17" t="str">
        <f t="shared" si="2"/>
        <v>mid-level,</v>
      </c>
      <c r="W17">
        <f>Table1[[#This Row],[Base_Salary]]*12%</f>
        <v>3621.12</v>
      </c>
    </row>
    <row r="18" spans="1:23" x14ac:dyDescent="0.3">
      <c r="A18">
        <v>1017</v>
      </c>
      <c r="B18" t="s">
        <v>56</v>
      </c>
      <c r="C18" t="s">
        <v>42</v>
      </c>
      <c r="D18" t="s">
        <v>25</v>
      </c>
      <c r="E18" t="s">
        <v>26</v>
      </c>
      <c r="F18" t="s">
        <v>43</v>
      </c>
      <c r="G18">
        <v>8</v>
      </c>
      <c r="H18" t="s">
        <v>48</v>
      </c>
      <c r="I18">
        <v>31583</v>
      </c>
      <c r="J18">
        <v>3622</v>
      </c>
      <c r="K18">
        <v>2076</v>
      </c>
      <c r="L18">
        <v>5001</v>
      </c>
      <c r="M18">
        <v>2993</v>
      </c>
      <c r="N18">
        <v>3158</v>
      </c>
      <c r="O18">
        <f t="shared" si="0"/>
        <v>36131</v>
      </c>
      <c r="P18">
        <v>5</v>
      </c>
      <c r="Q18">
        <v>7</v>
      </c>
      <c r="R18">
        <v>6</v>
      </c>
      <c r="S18" t="s">
        <v>29</v>
      </c>
      <c r="T18" t="s">
        <v>79</v>
      </c>
      <c r="U18" t="str">
        <f t="shared" si="1"/>
        <v>low</v>
      </c>
      <c r="V18" t="str">
        <f t="shared" si="2"/>
        <v>senior</v>
      </c>
      <c r="W18">
        <f>Table1[[#This Row],[Base_Salary]]*12%</f>
        <v>3789.96</v>
      </c>
    </row>
    <row r="19" spans="1:23" x14ac:dyDescent="0.3">
      <c r="A19">
        <v>1018</v>
      </c>
      <c r="B19" t="s">
        <v>80</v>
      </c>
      <c r="C19" t="s">
        <v>62</v>
      </c>
      <c r="D19" t="s">
        <v>25</v>
      </c>
      <c r="E19" t="s">
        <v>47</v>
      </c>
      <c r="F19" t="s">
        <v>27</v>
      </c>
      <c r="G19">
        <v>4</v>
      </c>
      <c r="H19" t="s">
        <v>48</v>
      </c>
      <c r="I19">
        <v>75356</v>
      </c>
      <c r="J19">
        <v>8531</v>
      </c>
      <c r="K19">
        <v>1695</v>
      </c>
      <c r="L19">
        <v>5705</v>
      </c>
      <c r="M19">
        <v>4608</v>
      </c>
      <c r="N19">
        <v>7535</v>
      </c>
      <c r="O19">
        <f t="shared" si="0"/>
        <v>79144</v>
      </c>
      <c r="P19">
        <v>3</v>
      </c>
      <c r="Q19">
        <v>7</v>
      </c>
      <c r="R19">
        <v>1</v>
      </c>
      <c r="S19" t="s">
        <v>29</v>
      </c>
      <c r="T19" t="s">
        <v>81</v>
      </c>
      <c r="U19" t="str">
        <f t="shared" si="1"/>
        <v>high</v>
      </c>
      <c r="V19" t="str">
        <f t="shared" si="2"/>
        <v>mid-level,</v>
      </c>
      <c r="W19">
        <f>Table1[[#This Row],[Base_Salary]]*12%</f>
        <v>9042.7199999999993</v>
      </c>
    </row>
    <row r="20" spans="1:23" x14ac:dyDescent="0.3">
      <c r="A20">
        <v>1019</v>
      </c>
      <c r="B20" t="s">
        <v>50</v>
      </c>
      <c r="C20" t="s">
        <v>62</v>
      </c>
      <c r="D20" t="s">
        <v>59</v>
      </c>
      <c r="E20" t="s">
        <v>26</v>
      </c>
      <c r="F20" t="s">
        <v>27</v>
      </c>
      <c r="G20">
        <v>9</v>
      </c>
      <c r="H20" t="s">
        <v>34</v>
      </c>
      <c r="I20">
        <v>47675</v>
      </c>
      <c r="J20">
        <v>3820</v>
      </c>
      <c r="K20">
        <v>1055</v>
      </c>
      <c r="L20">
        <v>4900</v>
      </c>
      <c r="M20">
        <v>1380</v>
      </c>
      <c r="N20">
        <v>4767</v>
      </c>
      <c r="O20">
        <f t="shared" si="0"/>
        <v>51303</v>
      </c>
      <c r="P20">
        <v>4</v>
      </c>
      <c r="Q20">
        <v>8</v>
      </c>
      <c r="R20">
        <v>12</v>
      </c>
      <c r="S20" t="s">
        <v>39</v>
      </c>
      <c r="T20" t="s">
        <v>82</v>
      </c>
      <c r="U20" t="str">
        <f t="shared" si="1"/>
        <v>medium</v>
      </c>
      <c r="V20" t="str">
        <f t="shared" si="2"/>
        <v>senior</v>
      </c>
      <c r="W20">
        <f>Table1[[#This Row],[Base_Salary]]*12%</f>
        <v>5721</v>
      </c>
    </row>
    <row r="21" spans="1:23" x14ac:dyDescent="0.3">
      <c r="A21">
        <v>1020</v>
      </c>
      <c r="B21" t="s">
        <v>77</v>
      </c>
      <c r="C21" t="s">
        <v>42</v>
      </c>
      <c r="D21" t="s">
        <v>38</v>
      </c>
      <c r="E21" t="s">
        <v>75</v>
      </c>
      <c r="F21" t="s">
        <v>43</v>
      </c>
      <c r="G21">
        <v>8</v>
      </c>
      <c r="H21" t="s">
        <v>53</v>
      </c>
      <c r="I21">
        <v>49177</v>
      </c>
      <c r="J21">
        <v>7872</v>
      </c>
      <c r="K21">
        <v>1763</v>
      </c>
      <c r="L21">
        <v>1014</v>
      </c>
      <c r="M21">
        <v>2427</v>
      </c>
      <c r="N21">
        <v>4917</v>
      </c>
      <c r="O21">
        <f t="shared" si="0"/>
        <v>52482</v>
      </c>
      <c r="P21">
        <v>3</v>
      </c>
      <c r="Q21">
        <v>6</v>
      </c>
      <c r="R21">
        <v>2</v>
      </c>
      <c r="S21" t="s">
        <v>29</v>
      </c>
      <c r="T21" t="s">
        <v>83</v>
      </c>
      <c r="U21" t="str">
        <f t="shared" si="1"/>
        <v>medium</v>
      </c>
      <c r="V21" t="str">
        <f t="shared" si="2"/>
        <v>senior</v>
      </c>
      <c r="W21">
        <f>Table1[[#This Row],[Base_Salary]]*12%</f>
        <v>5901.24</v>
      </c>
    </row>
    <row r="22" spans="1:23" x14ac:dyDescent="0.3">
      <c r="A22">
        <v>1021</v>
      </c>
      <c r="B22" t="s">
        <v>31</v>
      </c>
      <c r="C22" t="s">
        <v>37</v>
      </c>
      <c r="D22" t="s">
        <v>32</v>
      </c>
      <c r="E22" t="s">
        <v>47</v>
      </c>
      <c r="F22" t="s">
        <v>43</v>
      </c>
      <c r="G22">
        <v>10</v>
      </c>
      <c r="H22" t="s">
        <v>48</v>
      </c>
      <c r="I22">
        <v>34157</v>
      </c>
      <c r="J22">
        <v>7654</v>
      </c>
      <c r="K22">
        <v>1288</v>
      </c>
      <c r="L22">
        <v>4337</v>
      </c>
      <c r="M22">
        <v>3264</v>
      </c>
      <c r="N22">
        <v>3415</v>
      </c>
      <c r="O22">
        <f t="shared" si="0"/>
        <v>40757</v>
      </c>
      <c r="P22">
        <v>2</v>
      </c>
      <c r="Q22">
        <v>8</v>
      </c>
      <c r="R22">
        <v>2</v>
      </c>
      <c r="S22" t="s">
        <v>29</v>
      </c>
      <c r="T22" t="s">
        <v>84</v>
      </c>
      <c r="U22" t="str">
        <f t="shared" si="1"/>
        <v>medium</v>
      </c>
      <c r="V22" t="str">
        <f t="shared" si="2"/>
        <v>senior</v>
      </c>
      <c r="W22">
        <f>Table1[[#This Row],[Base_Salary]]*12%</f>
        <v>4098.84</v>
      </c>
    </row>
    <row r="23" spans="1:23" x14ac:dyDescent="0.3">
      <c r="A23">
        <v>1022</v>
      </c>
      <c r="B23" t="s">
        <v>85</v>
      </c>
      <c r="C23" t="s">
        <v>24</v>
      </c>
      <c r="D23" t="s">
        <v>32</v>
      </c>
      <c r="E23" t="s">
        <v>86</v>
      </c>
      <c r="F23" t="s">
        <v>27</v>
      </c>
      <c r="G23">
        <v>10</v>
      </c>
      <c r="H23" t="s">
        <v>28</v>
      </c>
      <c r="I23">
        <v>57718</v>
      </c>
      <c r="J23">
        <v>3735</v>
      </c>
      <c r="K23">
        <v>1180</v>
      </c>
      <c r="L23">
        <v>3623</v>
      </c>
      <c r="M23">
        <v>1149</v>
      </c>
      <c r="N23">
        <v>5771</v>
      </c>
      <c r="O23">
        <f t="shared" si="0"/>
        <v>59336</v>
      </c>
      <c r="P23">
        <v>3</v>
      </c>
      <c r="Q23">
        <v>4</v>
      </c>
      <c r="R23">
        <v>4</v>
      </c>
      <c r="S23" t="s">
        <v>29</v>
      </c>
      <c r="T23" t="s">
        <v>87</v>
      </c>
      <c r="U23" t="str">
        <f t="shared" si="1"/>
        <v>medium</v>
      </c>
      <c r="V23" t="str">
        <f t="shared" si="2"/>
        <v>senior</v>
      </c>
      <c r="W23">
        <f>Table1[[#This Row],[Base_Salary]]*12%</f>
        <v>6926.16</v>
      </c>
    </row>
    <row r="24" spans="1:23" x14ac:dyDescent="0.3">
      <c r="A24">
        <v>1023</v>
      </c>
      <c r="B24" t="s">
        <v>58</v>
      </c>
      <c r="C24" t="s">
        <v>37</v>
      </c>
      <c r="D24" t="s">
        <v>25</v>
      </c>
      <c r="E24" t="s">
        <v>26</v>
      </c>
      <c r="F24" t="s">
        <v>43</v>
      </c>
      <c r="G24">
        <v>4</v>
      </c>
      <c r="H24" t="s">
        <v>65</v>
      </c>
      <c r="I24">
        <v>76832</v>
      </c>
      <c r="J24">
        <v>8588</v>
      </c>
      <c r="K24">
        <v>2836</v>
      </c>
      <c r="L24">
        <v>5281</v>
      </c>
      <c r="M24">
        <v>2092</v>
      </c>
      <c r="N24">
        <v>7683</v>
      </c>
      <c r="O24">
        <f t="shared" si="0"/>
        <v>83762</v>
      </c>
      <c r="P24">
        <v>4</v>
      </c>
      <c r="Q24">
        <v>6</v>
      </c>
      <c r="R24">
        <v>12</v>
      </c>
      <c r="S24" t="s">
        <v>29</v>
      </c>
      <c r="T24" t="s">
        <v>88</v>
      </c>
      <c r="U24" t="str">
        <f t="shared" si="1"/>
        <v>high</v>
      </c>
      <c r="V24" t="str">
        <f t="shared" si="2"/>
        <v>mid-level,</v>
      </c>
      <c r="W24">
        <f>Table1[[#This Row],[Base_Salary]]*12%</f>
        <v>9219.84</v>
      </c>
    </row>
    <row r="25" spans="1:23" x14ac:dyDescent="0.3">
      <c r="A25">
        <v>1024</v>
      </c>
      <c r="B25" t="s">
        <v>23</v>
      </c>
      <c r="C25" t="s">
        <v>24</v>
      </c>
      <c r="D25" t="s">
        <v>59</v>
      </c>
      <c r="E25" t="s">
        <v>33</v>
      </c>
      <c r="F25" t="s">
        <v>43</v>
      </c>
      <c r="G25">
        <v>1</v>
      </c>
      <c r="H25" t="s">
        <v>53</v>
      </c>
      <c r="I25">
        <v>32798</v>
      </c>
      <c r="J25">
        <v>5204</v>
      </c>
      <c r="K25">
        <v>2414</v>
      </c>
      <c r="L25">
        <v>3690</v>
      </c>
      <c r="M25">
        <v>3629</v>
      </c>
      <c r="N25">
        <v>3279</v>
      </c>
      <c r="O25">
        <f t="shared" si="0"/>
        <v>37198</v>
      </c>
      <c r="P25">
        <v>2</v>
      </c>
      <c r="Q25">
        <v>3</v>
      </c>
      <c r="R25">
        <v>6</v>
      </c>
      <c r="S25" t="s">
        <v>29</v>
      </c>
      <c r="T25" t="s">
        <v>89</v>
      </c>
      <c r="U25" t="str">
        <f t="shared" si="1"/>
        <v>low</v>
      </c>
      <c r="V25" t="str">
        <f t="shared" si="2"/>
        <v>junior</v>
      </c>
      <c r="W25">
        <f>Table1[[#This Row],[Base_Salary]]*12%</f>
        <v>3935.7599999999998</v>
      </c>
    </row>
    <row r="26" spans="1:23" x14ac:dyDescent="0.3">
      <c r="A26">
        <v>1025</v>
      </c>
      <c r="B26" t="s">
        <v>90</v>
      </c>
      <c r="C26" t="s">
        <v>37</v>
      </c>
      <c r="D26" t="s">
        <v>59</v>
      </c>
      <c r="E26" t="s">
        <v>47</v>
      </c>
      <c r="F26" t="s">
        <v>43</v>
      </c>
      <c r="G26">
        <v>7</v>
      </c>
      <c r="H26" t="s">
        <v>34</v>
      </c>
      <c r="I26">
        <v>71400</v>
      </c>
      <c r="J26">
        <v>5794</v>
      </c>
      <c r="K26">
        <v>3526</v>
      </c>
      <c r="L26">
        <v>3448</v>
      </c>
      <c r="M26">
        <v>1731</v>
      </c>
      <c r="N26">
        <v>7140</v>
      </c>
      <c r="O26">
        <f t="shared" si="0"/>
        <v>75297</v>
      </c>
      <c r="P26">
        <v>3</v>
      </c>
      <c r="Q26">
        <v>9</v>
      </c>
      <c r="R26">
        <v>4</v>
      </c>
      <c r="S26" t="s">
        <v>29</v>
      </c>
      <c r="T26" t="s">
        <v>91</v>
      </c>
      <c r="U26" t="str">
        <f t="shared" si="1"/>
        <v>high</v>
      </c>
      <c r="V26" t="str">
        <f t="shared" si="2"/>
        <v>senior</v>
      </c>
      <c r="W26">
        <f>Table1[[#This Row],[Base_Salary]]*12%</f>
        <v>8568</v>
      </c>
    </row>
    <row r="27" spans="1:23" x14ac:dyDescent="0.3">
      <c r="A27">
        <v>1026</v>
      </c>
      <c r="B27" t="s">
        <v>92</v>
      </c>
      <c r="C27" t="s">
        <v>24</v>
      </c>
      <c r="D27" t="s">
        <v>59</v>
      </c>
      <c r="E27" t="s">
        <v>47</v>
      </c>
      <c r="F27" t="s">
        <v>27</v>
      </c>
      <c r="G27">
        <v>10</v>
      </c>
      <c r="H27" t="s">
        <v>65</v>
      </c>
      <c r="I27">
        <v>52344</v>
      </c>
      <c r="J27">
        <v>8105</v>
      </c>
      <c r="K27">
        <v>584</v>
      </c>
      <c r="L27">
        <v>5183</v>
      </c>
      <c r="M27">
        <v>2040</v>
      </c>
      <c r="N27">
        <v>5234</v>
      </c>
      <c r="O27">
        <f t="shared" si="0"/>
        <v>58942</v>
      </c>
      <c r="P27">
        <v>5</v>
      </c>
      <c r="Q27">
        <v>8</v>
      </c>
      <c r="R27">
        <v>13</v>
      </c>
      <c r="S27" t="s">
        <v>39</v>
      </c>
      <c r="T27" t="s">
        <v>93</v>
      </c>
      <c r="U27" t="str">
        <f t="shared" si="1"/>
        <v>medium</v>
      </c>
      <c r="V27" t="str">
        <f t="shared" si="2"/>
        <v>senior</v>
      </c>
      <c r="W27">
        <f>Table1[[#This Row],[Base_Salary]]*12%</f>
        <v>6281.28</v>
      </c>
    </row>
    <row r="28" spans="1:23" x14ac:dyDescent="0.3">
      <c r="A28">
        <v>1027</v>
      </c>
      <c r="B28" t="s">
        <v>23</v>
      </c>
      <c r="C28" t="s">
        <v>42</v>
      </c>
      <c r="D28" t="s">
        <v>59</v>
      </c>
      <c r="E28" t="s">
        <v>33</v>
      </c>
      <c r="F28" t="s">
        <v>43</v>
      </c>
      <c r="G28">
        <v>3</v>
      </c>
      <c r="H28" t="s">
        <v>34</v>
      </c>
      <c r="I28">
        <v>77576</v>
      </c>
      <c r="J28">
        <v>9357</v>
      </c>
      <c r="K28">
        <v>3819</v>
      </c>
      <c r="L28">
        <v>5179</v>
      </c>
      <c r="M28">
        <v>4509</v>
      </c>
      <c r="N28">
        <v>7757</v>
      </c>
      <c r="O28">
        <f t="shared" si="0"/>
        <v>83665</v>
      </c>
      <c r="P28">
        <v>5</v>
      </c>
      <c r="Q28">
        <v>6</v>
      </c>
      <c r="R28">
        <v>8</v>
      </c>
      <c r="S28" t="s">
        <v>29</v>
      </c>
      <c r="T28" t="s">
        <v>94</v>
      </c>
      <c r="U28" t="str">
        <f t="shared" si="1"/>
        <v>high</v>
      </c>
      <c r="V28" t="str">
        <f t="shared" si="2"/>
        <v>mid-level,</v>
      </c>
      <c r="W28">
        <f>Table1[[#This Row],[Base_Salary]]*12%</f>
        <v>9309.119999999999</v>
      </c>
    </row>
    <row r="29" spans="1:23" x14ac:dyDescent="0.3">
      <c r="A29">
        <v>1028</v>
      </c>
      <c r="B29" t="s">
        <v>95</v>
      </c>
      <c r="C29" t="s">
        <v>42</v>
      </c>
      <c r="D29" t="s">
        <v>32</v>
      </c>
      <c r="E29" t="s">
        <v>47</v>
      </c>
      <c r="F29" t="s">
        <v>27</v>
      </c>
      <c r="G29">
        <v>10</v>
      </c>
      <c r="H29" t="s">
        <v>48</v>
      </c>
      <c r="I29">
        <v>49123</v>
      </c>
      <c r="J29">
        <v>9268</v>
      </c>
      <c r="K29">
        <v>546</v>
      </c>
      <c r="L29">
        <v>5606</v>
      </c>
      <c r="M29">
        <v>2185</v>
      </c>
      <c r="N29">
        <v>4912</v>
      </c>
      <c r="O29">
        <f t="shared" si="0"/>
        <v>57446</v>
      </c>
      <c r="P29">
        <v>3</v>
      </c>
      <c r="Q29">
        <v>3</v>
      </c>
      <c r="R29">
        <v>2</v>
      </c>
      <c r="S29" t="s">
        <v>39</v>
      </c>
      <c r="T29" t="s">
        <v>96</v>
      </c>
      <c r="U29" t="str">
        <f t="shared" si="1"/>
        <v>medium</v>
      </c>
      <c r="V29" t="str">
        <f t="shared" si="2"/>
        <v>senior</v>
      </c>
      <c r="W29">
        <f>Table1[[#This Row],[Base_Salary]]*12%</f>
        <v>5894.76</v>
      </c>
    </row>
    <row r="30" spans="1:23" x14ac:dyDescent="0.3">
      <c r="A30">
        <v>1029</v>
      </c>
      <c r="B30" t="s">
        <v>23</v>
      </c>
      <c r="C30" t="s">
        <v>24</v>
      </c>
      <c r="D30" t="s">
        <v>25</v>
      </c>
      <c r="E30" t="s">
        <v>52</v>
      </c>
      <c r="F30" t="s">
        <v>27</v>
      </c>
      <c r="G30">
        <v>5</v>
      </c>
      <c r="H30" t="s">
        <v>34</v>
      </c>
      <c r="I30">
        <v>32401</v>
      </c>
      <c r="J30">
        <v>3772</v>
      </c>
      <c r="K30">
        <v>1053</v>
      </c>
      <c r="L30">
        <v>5413</v>
      </c>
      <c r="M30">
        <v>3529</v>
      </c>
      <c r="N30">
        <v>3240</v>
      </c>
      <c r="O30">
        <f t="shared" si="0"/>
        <v>35870</v>
      </c>
      <c r="P30">
        <v>4</v>
      </c>
      <c r="Q30">
        <v>9</v>
      </c>
      <c r="R30">
        <v>10</v>
      </c>
      <c r="S30" t="s">
        <v>29</v>
      </c>
      <c r="T30" t="s">
        <v>97</v>
      </c>
      <c r="U30" t="str">
        <f t="shared" si="1"/>
        <v>low</v>
      </c>
      <c r="V30" t="str">
        <f t="shared" si="2"/>
        <v>mid-level,</v>
      </c>
      <c r="W30">
        <f>Table1[[#This Row],[Base_Salary]]*12%</f>
        <v>3888.12</v>
      </c>
    </row>
    <row r="31" spans="1:23" x14ac:dyDescent="0.3">
      <c r="A31">
        <v>1030</v>
      </c>
      <c r="B31" t="s">
        <v>98</v>
      </c>
      <c r="C31" t="s">
        <v>62</v>
      </c>
      <c r="D31" t="s">
        <v>38</v>
      </c>
      <c r="E31" t="s">
        <v>86</v>
      </c>
      <c r="F31" t="s">
        <v>27</v>
      </c>
      <c r="G31">
        <v>10</v>
      </c>
      <c r="H31" t="s">
        <v>34</v>
      </c>
      <c r="I31">
        <v>54018</v>
      </c>
      <c r="J31">
        <v>4182</v>
      </c>
      <c r="K31">
        <v>2107</v>
      </c>
      <c r="L31">
        <v>3064</v>
      </c>
      <c r="M31">
        <v>2494</v>
      </c>
      <c r="N31">
        <v>5401</v>
      </c>
      <c r="O31">
        <f t="shared" si="0"/>
        <v>55476</v>
      </c>
      <c r="P31">
        <v>5</v>
      </c>
      <c r="Q31">
        <v>5</v>
      </c>
      <c r="R31">
        <v>14</v>
      </c>
      <c r="S31" t="s">
        <v>39</v>
      </c>
      <c r="T31" t="s">
        <v>99</v>
      </c>
      <c r="U31" t="str">
        <f t="shared" si="1"/>
        <v>medium</v>
      </c>
      <c r="V31" t="str">
        <f t="shared" si="2"/>
        <v>senior</v>
      </c>
      <c r="W31">
        <f>Table1[[#This Row],[Base_Salary]]*12%</f>
        <v>6482.16</v>
      </c>
    </row>
    <row r="32" spans="1:23" x14ac:dyDescent="0.3">
      <c r="A32">
        <v>1031</v>
      </c>
      <c r="B32" t="s">
        <v>61</v>
      </c>
      <c r="C32" t="s">
        <v>37</v>
      </c>
      <c r="D32" t="s">
        <v>38</v>
      </c>
      <c r="E32" t="s">
        <v>86</v>
      </c>
      <c r="F32" t="s">
        <v>27</v>
      </c>
      <c r="G32">
        <v>5</v>
      </c>
      <c r="H32" t="s">
        <v>48</v>
      </c>
      <c r="I32">
        <v>59322</v>
      </c>
      <c r="J32">
        <v>6882</v>
      </c>
      <c r="K32">
        <v>1702</v>
      </c>
      <c r="L32">
        <v>1733</v>
      </c>
      <c r="M32">
        <v>3917</v>
      </c>
      <c r="N32">
        <v>5932</v>
      </c>
      <c r="O32">
        <f t="shared" si="0"/>
        <v>59790</v>
      </c>
      <c r="P32">
        <v>3</v>
      </c>
      <c r="Q32">
        <v>1</v>
      </c>
      <c r="R32">
        <v>0</v>
      </c>
      <c r="S32" t="s">
        <v>39</v>
      </c>
      <c r="T32" t="s">
        <v>100</v>
      </c>
      <c r="U32" t="str">
        <f t="shared" si="1"/>
        <v>medium</v>
      </c>
      <c r="V32" t="str">
        <f t="shared" si="2"/>
        <v>mid-level,</v>
      </c>
      <c r="W32">
        <f>Table1[[#This Row],[Base_Salary]]*12%</f>
        <v>7118.6399999999994</v>
      </c>
    </row>
    <row r="33" spans="1:23" x14ac:dyDescent="0.3">
      <c r="A33">
        <v>1032</v>
      </c>
      <c r="B33" t="s">
        <v>101</v>
      </c>
      <c r="C33" t="s">
        <v>24</v>
      </c>
      <c r="D33" t="s">
        <v>38</v>
      </c>
      <c r="E33" t="s">
        <v>75</v>
      </c>
      <c r="F33" t="s">
        <v>43</v>
      </c>
      <c r="G33">
        <v>4</v>
      </c>
      <c r="H33" t="s">
        <v>65</v>
      </c>
      <c r="I33">
        <v>63489</v>
      </c>
      <c r="J33">
        <v>8910</v>
      </c>
      <c r="K33">
        <v>1482</v>
      </c>
      <c r="L33">
        <v>2538</v>
      </c>
      <c r="M33">
        <v>3722</v>
      </c>
      <c r="N33">
        <v>6348</v>
      </c>
      <c r="O33">
        <f t="shared" si="0"/>
        <v>66349</v>
      </c>
      <c r="P33">
        <v>3</v>
      </c>
      <c r="Q33">
        <v>7</v>
      </c>
      <c r="R33">
        <v>13</v>
      </c>
      <c r="S33" t="s">
        <v>29</v>
      </c>
      <c r="T33" t="s">
        <v>102</v>
      </c>
      <c r="U33" t="str">
        <f t="shared" si="1"/>
        <v>medium</v>
      </c>
      <c r="V33" t="str">
        <f t="shared" si="2"/>
        <v>mid-level,</v>
      </c>
      <c r="W33">
        <f>Table1[[#This Row],[Base_Salary]]*12%</f>
        <v>7618.6799999999994</v>
      </c>
    </row>
    <row r="34" spans="1:23" x14ac:dyDescent="0.3">
      <c r="A34">
        <v>1033</v>
      </c>
      <c r="B34" t="s">
        <v>74</v>
      </c>
      <c r="C34" t="s">
        <v>37</v>
      </c>
      <c r="D34" t="s">
        <v>32</v>
      </c>
      <c r="E34" t="s">
        <v>52</v>
      </c>
      <c r="F34" t="s">
        <v>43</v>
      </c>
      <c r="G34">
        <v>6</v>
      </c>
      <c r="H34" t="s">
        <v>28</v>
      </c>
      <c r="I34">
        <v>75854</v>
      </c>
      <c r="J34">
        <v>3386</v>
      </c>
      <c r="K34">
        <v>2262</v>
      </c>
      <c r="L34">
        <v>4694</v>
      </c>
      <c r="M34">
        <v>2530</v>
      </c>
      <c r="N34">
        <v>7585</v>
      </c>
      <c r="O34">
        <f t="shared" si="0"/>
        <v>76081</v>
      </c>
      <c r="P34">
        <v>4</v>
      </c>
      <c r="Q34">
        <v>7</v>
      </c>
      <c r="R34">
        <v>4</v>
      </c>
      <c r="S34" t="s">
        <v>29</v>
      </c>
      <c r="T34" t="s">
        <v>103</v>
      </c>
      <c r="U34" t="str">
        <f t="shared" si="1"/>
        <v>high</v>
      </c>
      <c r="V34" t="str">
        <f t="shared" si="2"/>
        <v>mid-level,</v>
      </c>
      <c r="W34">
        <f>Table1[[#This Row],[Base_Salary]]*12%</f>
        <v>9102.48</v>
      </c>
    </row>
    <row r="35" spans="1:23" x14ac:dyDescent="0.3">
      <c r="A35">
        <v>1034</v>
      </c>
      <c r="B35" t="s">
        <v>104</v>
      </c>
      <c r="C35" t="s">
        <v>51</v>
      </c>
      <c r="D35" t="s">
        <v>38</v>
      </c>
      <c r="E35" t="s">
        <v>33</v>
      </c>
      <c r="F35" t="s">
        <v>43</v>
      </c>
      <c r="G35">
        <v>3</v>
      </c>
      <c r="H35" t="s">
        <v>48</v>
      </c>
      <c r="I35">
        <v>60998</v>
      </c>
      <c r="J35">
        <v>5690</v>
      </c>
      <c r="K35">
        <v>2866</v>
      </c>
      <c r="L35">
        <v>4683</v>
      </c>
      <c r="M35">
        <v>2091</v>
      </c>
      <c r="N35">
        <v>6099</v>
      </c>
      <c r="O35">
        <f t="shared" si="0"/>
        <v>66047</v>
      </c>
      <c r="P35">
        <v>5</v>
      </c>
      <c r="Q35">
        <v>8</v>
      </c>
      <c r="R35">
        <v>1</v>
      </c>
      <c r="S35" t="s">
        <v>29</v>
      </c>
      <c r="T35" t="s">
        <v>105</v>
      </c>
      <c r="U35" t="str">
        <f t="shared" si="1"/>
        <v>medium</v>
      </c>
      <c r="V35" t="str">
        <f t="shared" si="2"/>
        <v>mid-level,</v>
      </c>
      <c r="W35">
        <f>Table1[[#This Row],[Base_Salary]]*12%</f>
        <v>7319.7599999999993</v>
      </c>
    </row>
    <row r="36" spans="1:23" x14ac:dyDescent="0.3">
      <c r="A36">
        <v>1035</v>
      </c>
      <c r="B36" t="s">
        <v>69</v>
      </c>
      <c r="C36" t="s">
        <v>24</v>
      </c>
      <c r="D36" t="s">
        <v>59</v>
      </c>
      <c r="E36" t="s">
        <v>33</v>
      </c>
      <c r="F36" t="s">
        <v>27</v>
      </c>
      <c r="G36">
        <v>8</v>
      </c>
      <c r="H36" t="s">
        <v>34</v>
      </c>
      <c r="I36">
        <v>72704</v>
      </c>
      <c r="J36">
        <v>4172</v>
      </c>
      <c r="K36">
        <v>746</v>
      </c>
      <c r="L36">
        <v>1925</v>
      </c>
      <c r="M36">
        <v>3345</v>
      </c>
      <c r="N36">
        <v>7270</v>
      </c>
      <c r="O36">
        <f t="shared" si="0"/>
        <v>68932</v>
      </c>
      <c r="P36">
        <v>5</v>
      </c>
      <c r="Q36">
        <v>7</v>
      </c>
      <c r="R36">
        <v>7</v>
      </c>
      <c r="S36" t="s">
        <v>29</v>
      </c>
      <c r="T36" t="s">
        <v>106</v>
      </c>
      <c r="U36" t="str">
        <f t="shared" si="1"/>
        <v>medium</v>
      </c>
      <c r="V36" t="str">
        <f t="shared" si="2"/>
        <v>senior</v>
      </c>
      <c r="W36">
        <f>Table1[[#This Row],[Base_Salary]]*12%</f>
        <v>8724.48</v>
      </c>
    </row>
    <row r="37" spans="1:23" x14ac:dyDescent="0.3">
      <c r="A37">
        <v>1036</v>
      </c>
      <c r="B37" t="s">
        <v>36</v>
      </c>
      <c r="C37" t="s">
        <v>62</v>
      </c>
      <c r="D37" t="s">
        <v>32</v>
      </c>
      <c r="E37" t="s">
        <v>52</v>
      </c>
      <c r="F37" t="s">
        <v>43</v>
      </c>
      <c r="G37">
        <v>10</v>
      </c>
      <c r="H37" t="s">
        <v>34</v>
      </c>
      <c r="I37">
        <v>55820</v>
      </c>
      <c r="J37">
        <v>6495</v>
      </c>
      <c r="K37">
        <v>3679</v>
      </c>
      <c r="L37">
        <v>2799</v>
      </c>
      <c r="M37">
        <v>1434</v>
      </c>
      <c r="N37">
        <v>5582</v>
      </c>
      <c r="O37">
        <f t="shared" si="0"/>
        <v>61777</v>
      </c>
      <c r="P37">
        <v>3</v>
      </c>
      <c r="Q37">
        <v>5</v>
      </c>
      <c r="R37">
        <v>15</v>
      </c>
      <c r="S37" t="s">
        <v>29</v>
      </c>
      <c r="T37" t="s">
        <v>107</v>
      </c>
      <c r="U37" t="str">
        <f t="shared" si="1"/>
        <v>medium</v>
      </c>
      <c r="V37" t="str">
        <f t="shared" si="2"/>
        <v>senior</v>
      </c>
      <c r="W37">
        <f>Table1[[#This Row],[Base_Salary]]*12%</f>
        <v>6698.4</v>
      </c>
    </row>
    <row r="38" spans="1:23" x14ac:dyDescent="0.3">
      <c r="A38">
        <v>1037</v>
      </c>
      <c r="B38" t="s">
        <v>67</v>
      </c>
      <c r="C38" t="s">
        <v>37</v>
      </c>
      <c r="D38" t="s">
        <v>38</v>
      </c>
      <c r="E38" t="s">
        <v>86</v>
      </c>
      <c r="F38" t="s">
        <v>27</v>
      </c>
      <c r="G38">
        <v>9</v>
      </c>
      <c r="H38" t="s">
        <v>48</v>
      </c>
      <c r="I38">
        <v>89162</v>
      </c>
      <c r="J38">
        <v>4321</v>
      </c>
      <c r="K38">
        <v>2546</v>
      </c>
      <c r="L38">
        <v>1627</v>
      </c>
      <c r="M38">
        <v>3744</v>
      </c>
      <c r="N38">
        <v>8916</v>
      </c>
      <c r="O38">
        <f t="shared" si="0"/>
        <v>84996</v>
      </c>
      <c r="P38">
        <v>3</v>
      </c>
      <c r="Q38">
        <v>8</v>
      </c>
      <c r="R38">
        <v>8</v>
      </c>
      <c r="S38" t="s">
        <v>39</v>
      </c>
      <c r="T38" t="s">
        <v>108</v>
      </c>
      <c r="U38" t="str">
        <f t="shared" si="1"/>
        <v>high</v>
      </c>
      <c r="V38" t="str">
        <f t="shared" si="2"/>
        <v>senior</v>
      </c>
      <c r="W38">
        <f>Table1[[#This Row],[Base_Salary]]*12%</f>
        <v>10699.44</v>
      </c>
    </row>
    <row r="39" spans="1:23" x14ac:dyDescent="0.3">
      <c r="A39">
        <v>1038</v>
      </c>
      <c r="B39" t="s">
        <v>64</v>
      </c>
      <c r="C39" t="s">
        <v>46</v>
      </c>
      <c r="D39" t="s">
        <v>59</v>
      </c>
      <c r="E39" t="s">
        <v>26</v>
      </c>
      <c r="F39" t="s">
        <v>27</v>
      </c>
      <c r="G39">
        <v>5</v>
      </c>
      <c r="H39" t="s">
        <v>28</v>
      </c>
      <c r="I39">
        <v>57482</v>
      </c>
      <c r="J39">
        <v>5313</v>
      </c>
      <c r="K39">
        <v>3219</v>
      </c>
      <c r="L39">
        <v>4592</v>
      </c>
      <c r="M39">
        <v>4885</v>
      </c>
      <c r="N39">
        <v>5748</v>
      </c>
      <c r="O39">
        <f t="shared" si="0"/>
        <v>59973</v>
      </c>
      <c r="P39">
        <v>2</v>
      </c>
      <c r="Q39">
        <v>10</v>
      </c>
      <c r="R39">
        <v>10</v>
      </c>
      <c r="S39" t="s">
        <v>29</v>
      </c>
      <c r="T39" t="s">
        <v>109</v>
      </c>
      <c r="U39" t="str">
        <f t="shared" si="1"/>
        <v>medium</v>
      </c>
      <c r="V39" t="str">
        <f t="shared" si="2"/>
        <v>mid-level,</v>
      </c>
      <c r="W39">
        <f>Table1[[#This Row],[Base_Salary]]*12%</f>
        <v>6897.84</v>
      </c>
    </row>
    <row r="40" spans="1:23" x14ac:dyDescent="0.3">
      <c r="A40">
        <v>1039</v>
      </c>
      <c r="B40" t="s">
        <v>110</v>
      </c>
      <c r="C40" t="s">
        <v>37</v>
      </c>
      <c r="D40" t="s">
        <v>59</v>
      </c>
      <c r="E40" t="s">
        <v>33</v>
      </c>
      <c r="F40" t="s">
        <v>27</v>
      </c>
      <c r="G40">
        <v>1</v>
      </c>
      <c r="H40" t="s">
        <v>28</v>
      </c>
      <c r="I40">
        <v>57721</v>
      </c>
      <c r="J40">
        <v>6494</v>
      </c>
      <c r="K40">
        <v>1941</v>
      </c>
      <c r="L40">
        <v>4590</v>
      </c>
      <c r="M40">
        <v>2560</v>
      </c>
      <c r="N40">
        <v>5772</v>
      </c>
      <c r="O40">
        <f t="shared" si="0"/>
        <v>62414</v>
      </c>
      <c r="P40">
        <v>4</v>
      </c>
      <c r="Q40">
        <v>7</v>
      </c>
      <c r="R40">
        <v>13</v>
      </c>
      <c r="S40" t="s">
        <v>39</v>
      </c>
      <c r="T40" t="s">
        <v>111</v>
      </c>
      <c r="U40" t="str">
        <f t="shared" si="1"/>
        <v>medium</v>
      </c>
      <c r="V40" t="str">
        <f t="shared" si="2"/>
        <v>junior</v>
      </c>
      <c r="W40">
        <f>Table1[[#This Row],[Base_Salary]]*12%</f>
        <v>6926.5199999999995</v>
      </c>
    </row>
    <row r="41" spans="1:23" x14ac:dyDescent="0.3">
      <c r="A41">
        <v>1040</v>
      </c>
      <c r="B41" t="s">
        <v>112</v>
      </c>
      <c r="C41" t="s">
        <v>42</v>
      </c>
      <c r="D41" t="s">
        <v>38</v>
      </c>
      <c r="E41" t="s">
        <v>86</v>
      </c>
      <c r="F41" t="s">
        <v>27</v>
      </c>
      <c r="G41">
        <v>5</v>
      </c>
      <c r="H41" t="s">
        <v>28</v>
      </c>
      <c r="I41">
        <v>35856</v>
      </c>
      <c r="J41">
        <v>5919</v>
      </c>
      <c r="K41">
        <v>3978</v>
      </c>
      <c r="L41">
        <v>1206</v>
      </c>
      <c r="M41">
        <v>3649</v>
      </c>
      <c r="N41">
        <v>3585</v>
      </c>
      <c r="O41">
        <f t="shared" si="0"/>
        <v>39725</v>
      </c>
      <c r="P41">
        <v>5</v>
      </c>
      <c r="Q41">
        <v>7</v>
      </c>
      <c r="R41">
        <v>0</v>
      </c>
      <c r="S41" t="s">
        <v>39</v>
      </c>
      <c r="T41" t="s">
        <v>113</v>
      </c>
      <c r="U41" t="str">
        <f t="shared" si="1"/>
        <v>low</v>
      </c>
      <c r="V41" t="str">
        <f t="shared" si="2"/>
        <v>mid-level,</v>
      </c>
      <c r="W41">
        <f>Table1[[#This Row],[Base_Salary]]*12%</f>
        <v>4302.72</v>
      </c>
    </row>
    <row r="42" spans="1:23" x14ac:dyDescent="0.3">
      <c r="A42">
        <v>1041</v>
      </c>
      <c r="B42" t="s">
        <v>114</v>
      </c>
      <c r="C42" t="s">
        <v>24</v>
      </c>
      <c r="D42" t="s">
        <v>59</v>
      </c>
      <c r="E42" t="s">
        <v>26</v>
      </c>
      <c r="F42" t="s">
        <v>27</v>
      </c>
      <c r="G42">
        <v>4</v>
      </c>
      <c r="H42" t="s">
        <v>28</v>
      </c>
      <c r="I42">
        <v>76440</v>
      </c>
      <c r="J42">
        <v>6696</v>
      </c>
      <c r="K42">
        <v>1215</v>
      </c>
      <c r="L42">
        <v>2654</v>
      </c>
      <c r="M42">
        <v>1944</v>
      </c>
      <c r="N42">
        <v>7644</v>
      </c>
      <c r="O42">
        <f t="shared" si="0"/>
        <v>77417</v>
      </c>
      <c r="P42">
        <v>2</v>
      </c>
      <c r="Q42">
        <v>7</v>
      </c>
      <c r="R42">
        <v>10</v>
      </c>
      <c r="S42" t="s">
        <v>39</v>
      </c>
      <c r="T42" t="s">
        <v>115</v>
      </c>
      <c r="U42" t="str">
        <f t="shared" si="1"/>
        <v>high</v>
      </c>
      <c r="V42" t="str">
        <f t="shared" si="2"/>
        <v>mid-level,</v>
      </c>
      <c r="W42">
        <f>Table1[[#This Row],[Base_Salary]]*12%</f>
        <v>9172.7999999999993</v>
      </c>
    </row>
    <row r="43" spans="1:23" x14ac:dyDescent="0.3">
      <c r="A43">
        <v>1042</v>
      </c>
      <c r="B43" t="s">
        <v>116</v>
      </c>
      <c r="C43" t="s">
        <v>24</v>
      </c>
      <c r="D43" t="s">
        <v>25</v>
      </c>
      <c r="E43" t="s">
        <v>26</v>
      </c>
      <c r="F43" t="s">
        <v>43</v>
      </c>
      <c r="G43">
        <v>4</v>
      </c>
      <c r="H43" t="s">
        <v>65</v>
      </c>
      <c r="I43">
        <v>72060</v>
      </c>
      <c r="J43">
        <v>7703</v>
      </c>
      <c r="K43">
        <v>2701</v>
      </c>
      <c r="L43">
        <v>1417</v>
      </c>
      <c r="M43">
        <v>4258</v>
      </c>
      <c r="N43">
        <v>7206</v>
      </c>
      <c r="O43">
        <f t="shared" si="0"/>
        <v>72417</v>
      </c>
      <c r="P43">
        <v>2</v>
      </c>
      <c r="Q43">
        <v>9</v>
      </c>
      <c r="R43">
        <v>1</v>
      </c>
      <c r="S43" t="s">
        <v>29</v>
      </c>
      <c r="T43" t="s">
        <v>117</v>
      </c>
      <c r="U43" t="str">
        <f t="shared" si="1"/>
        <v>high</v>
      </c>
      <c r="V43" t="str">
        <f t="shared" si="2"/>
        <v>mid-level,</v>
      </c>
      <c r="W43">
        <f>Table1[[#This Row],[Base_Salary]]*12%</f>
        <v>8647.1999999999989</v>
      </c>
    </row>
    <row r="44" spans="1:23" x14ac:dyDescent="0.3">
      <c r="A44">
        <v>1043</v>
      </c>
      <c r="B44" t="s">
        <v>118</v>
      </c>
      <c r="C44" t="s">
        <v>51</v>
      </c>
      <c r="D44" t="s">
        <v>32</v>
      </c>
      <c r="E44" t="s">
        <v>33</v>
      </c>
      <c r="F44" t="s">
        <v>27</v>
      </c>
      <c r="G44">
        <v>4</v>
      </c>
      <c r="H44" t="s">
        <v>34</v>
      </c>
      <c r="I44">
        <v>61877</v>
      </c>
      <c r="J44">
        <v>8199</v>
      </c>
      <c r="K44">
        <v>1166</v>
      </c>
      <c r="L44">
        <v>4756</v>
      </c>
      <c r="M44">
        <v>2401</v>
      </c>
      <c r="N44">
        <v>6187</v>
      </c>
      <c r="O44">
        <f t="shared" si="0"/>
        <v>67410</v>
      </c>
      <c r="P44">
        <v>2</v>
      </c>
      <c r="Q44">
        <v>2</v>
      </c>
      <c r="R44">
        <v>5</v>
      </c>
      <c r="S44" t="s">
        <v>29</v>
      </c>
      <c r="T44" t="s">
        <v>119</v>
      </c>
      <c r="U44" t="str">
        <f t="shared" si="1"/>
        <v>medium</v>
      </c>
      <c r="V44" t="str">
        <f t="shared" si="2"/>
        <v>mid-level,</v>
      </c>
      <c r="W44">
        <f>Table1[[#This Row],[Base_Salary]]*12%</f>
        <v>7425.24</v>
      </c>
    </row>
    <row r="45" spans="1:23" x14ac:dyDescent="0.3">
      <c r="A45">
        <v>1044</v>
      </c>
      <c r="B45" t="s">
        <v>120</v>
      </c>
      <c r="C45" t="s">
        <v>46</v>
      </c>
      <c r="D45" t="s">
        <v>59</v>
      </c>
      <c r="E45" t="s">
        <v>47</v>
      </c>
      <c r="F45" t="s">
        <v>27</v>
      </c>
      <c r="G45">
        <v>6</v>
      </c>
      <c r="H45" t="s">
        <v>53</v>
      </c>
      <c r="I45">
        <v>85513</v>
      </c>
      <c r="J45">
        <v>4522</v>
      </c>
      <c r="K45">
        <v>3804</v>
      </c>
      <c r="L45">
        <v>5316</v>
      </c>
      <c r="M45">
        <v>2728</v>
      </c>
      <c r="N45">
        <v>8551</v>
      </c>
      <c r="O45">
        <f t="shared" si="0"/>
        <v>87876</v>
      </c>
      <c r="P45">
        <v>4</v>
      </c>
      <c r="Q45">
        <v>7</v>
      </c>
      <c r="R45">
        <v>12</v>
      </c>
      <c r="S45" t="s">
        <v>29</v>
      </c>
      <c r="T45" t="s">
        <v>121</v>
      </c>
      <c r="U45" t="str">
        <f t="shared" si="1"/>
        <v>high</v>
      </c>
      <c r="V45" t="str">
        <f t="shared" si="2"/>
        <v>mid-level,</v>
      </c>
      <c r="W45">
        <f>Table1[[#This Row],[Base_Salary]]*12%</f>
        <v>10261.56</v>
      </c>
    </row>
    <row r="46" spans="1:23" x14ac:dyDescent="0.3">
      <c r="A46">
        <v>1045</v>
      </c>
      <c r="B46" t="s">
        <v>122</v>
      </c>
      <c r="C46" t="s">
        <v>62</v>
      </c>
      <c r="D46" t="s">
        <v>32</v>
      </c>
      <c r="E46" t="s">
        <v>47</v>
      </c>
      <c r="F46" t="s">
        <v>43</v>
      </c>
      <c r="G46">
        <v>4</v>
      </c>
      <c r="H46" t="s">
        <v>53</v>
      </c>
      <c r="I46">
        <v>59231</v>
      </c>
      <c r="J46">
        <v>2759</v>
      </c>
      <c r="K46">
        <v>2475</v>
      </c>
      <c r="L46">
        <v>1434</v>
      </c>
      <c r="M46">
        <v>3653</v>
      </c>
      <c r="N46">
        <v>5923</v>
      </c>
      <c r="O46">
        <f t="shared" si="0"/>
        <v>56323</v>
      </c>
      <c r="P46">
        <v>5</v>
      </c>
      <c r="Q46">
        <v>8</v>
      </c>
      <c r="R46">
        <v>10</v>
      </c>
      <c r="S46" t="s">
        <v>39</v>
      </c>
      <c r="T46" t="s">
        <v>123</v>
      </c>
      <c r="U46" t="str">
        <f t="shared" si="1"/>
        <v>medium</v>
      </c>
      <c r="V46" t="str">
        <f t="shared" si="2"/>
        <v>mid-level,</v>
      </c>
      <c r="W46">
        <f>Table1[[#This Row],[Base_Salary]]*12%</f>
        <v>7107.7199999999993</v>
      </c>
    </row>
    <row r="47" spans="1:23" x14ac:dyDescent="0.3">
      <c r="A47">
        <v>1046</v>
      </c>
      <c r="B47" t="s">
        <v>36</v>
      </c>
      <c r="C47" t="s">
        <v>37</v>
      </c>
      <c r="D47" t="s">
        <v>25</v>
      </c>
      <c r="E47" t="s">
        <v>86</v>
      </c>
      <c r="F47" t="s">
        <v>27</v>
      </c>
      <c r="G47">
        <v>5</v>
      </c>
      <c r="H47" t="s">
        <v>53</v>
      </c>
      <c r="I47">
        <v>59951</v>
      </c>
      <c r="J47">
        <v>9843</v>
      </c>
      <c r="K47">
        <v>3368</v>
      </c>
      <c r="L47">
        <v>3984</v>
      </c>
      <c r="M47">
        <v>1826</v>
      </c>
      <c r="N47">
        <v>5995</v>
      </c>
      <c r="O47">
        <f t="shared" si="0"/>
        <v>69325</v>
      </c>
      <c r="P47">
        <v>2</v>
      </c>
      <c r="Q47">
        <v>5</v>
      </c>
      <c r="R47">
        <v>5</v>
      </c>
      <c r="S47" t="s">
        <v>29</v>
      </c>
      <c r="T47" t="s">
        <v>124</v>
      </c>
      <c r="U47" t="str">
        <f t="shared" si="1"/>
        <v>medium</v>
      </c>
      <c r="V47" t="str">
        <f t="shared" si="2"/>
        <v>mid-level,</v>
      </c>
      <c r="W47">
        <f>Table1[[#This Row],[Base_Salary]]*12%</f>
        <v>7194.12</v>
      </c>
    </row>
    <row r="48" spans="1:23" x14ac:dyDescent="0.3">
      <c r="A48">
        <v>1047</v>
      </c>
      <c r="B48" t="s">
        <v>58</v>
      </c>
      <c r="C48" t="s">
        <v>46</v>
      </c>
      <c r="D48" t="s">
        <v>38</v>
      </c>
      <c r="E48" t="s">
        <v>26</v>
      </c>
      <c r="F48" t="s">
        <v>27</v>
      </c>
      <c r="G48">
        <v>3</v>
      </c>
      <c r="H48" t="s">
        <v>53</v>
      </c>
      <c r="I48">
        <v>79455</v>
      </c>
      <c r="J48">
        <v>4574</v>
      </c>
      <c r="K48">
        <v>3665</v>
      </c>
      <c r="L48">
        <v>1726</v>
      </c>
      <c r="M48">
        <v>2544</v>
      </c>
      <c r="N48">
        <v>7945</v>
      </c>
      <c r="O48">
        <f t="shared" si="0"/>
        <v>78931</v>
      </c>
      <c r="P48">
        <v>3</v>
      </c>
      <c r="Q48">
        <v>2</v>
      </c>
      <c r="R48">
        <v>12</v>
      </c>
      <c r="S48" t="s">
        <v>29</v>
      </c>
      <c r="T48" t="s">
        <v>125</v>
      </c>
      <c r="U48" t="str">
        <f t="shared" si="1"/>
        <v>high</v>
      </c>
      <c r="V48" t="str">
        <f t="shared" si="2"/>
        <v>mid-level,</v>
      </c>
      <c r="W48">
        <f>Table1[[#This Row],[Base_Salary]]*12%</f>
        <v>9534.6</v>
      </c>
    </row>
    <row r="49" spans="1:23" x14ac:dyDescent="0.3">
      <c r="A49">
        <v>1048</v>
      </c>
      <c r="B49" t="s">
        <v>126</v>
      </c>
      <c r="C49" t="s">
        <v>62</v>
      </c>
      <c r="D49" t="s">
        <v>32</v>
      </c>
      <c r="E49" t="s">
        <v>86</v>
      </c>
      <c r="F49" t="s">
        <v>43</v>
      </c>
      <c r="G49">
        <v>3</v>
      </c>
      <c r="H49" t="s">
        <v>28</v>
      </c>
      <c r="I49">
        <v>69863</v>
      </c>
      <c r="J49">
        <v>8074</v>
      </c>
      <c r="K49">
        <v>3057</v>
      </c>
      <c r="L49">
        <v>2522</v>
      </c>
      <c r="M49">
        <v>3533</v>
      </c>
      <c r="N49">
        <v>6986</v>
      </c>
      <c r="O49">
        <f t="shared" si="0"/>
        <v>72997</v>
      </c>
      <c r="P49">
        <v>2</v>
      </c>
      <c r="Q49">
        <v>3</v>
      </c>
      <c r="R49">
        <v>7</v>
      </c>
      <c r="S49" t="s">
        <v>39</v>
      </c>
      <c r="T49" t="s">
        <v>127</v>
      </c>
      <c r="U49" t="str">
        <f t="shared" si="1"/>
        <v>high</v>
      </c>
      <c r="V49" t="str">
        <f t="shared" si="2"/>
        <v>mid-level,</v>
      </c>
      <c r="W49">
        <f>Table1[[#This Row],[Base_Salary]]*12%</f>
        <v>8383.56</v>
      </c>
    </row>
    <row r="50" spans="1:23" x14ac:dyDescent="0.3">
      <c r="A50">
        <v>1049</v>
      </c>
      <c r="B50" t="s">
        <v>45</v>
      </c>
      <c r="C50" t="s">
        <v>24</v>
      </c>
      <c r="D50" t="s">
        <v>32</v>
      </c>
      <c r="E50" t="s">
        <v>52</v>
      </c>
      <c r="F50" t="s">
        <v>43</v>
      </c>
      <c r="G50">
        <v>6</v>
      </c>
      <c r="H50" t="s">
        <v>53</v>
      </c>
      <c r="I50">
        <v>63770</v>
      </c>
      <c r="J50">
        <v>6163</v>
      </c>
      <c r="K50">
        <v>1686</v>
      </c>
      <c r="L50">
        <v>3460</v>
      </c>
      <c r="M50">
        <v>4936</v>
      </c>
      <c r="N50">
        <v>6377</v>
      </c>
      <c r="O50">
        <f t="shared" si="0"/>
        <v>63766</v>
      </c>
      <c r="P50">
        <v>3</v>
      </c>
      <c r="Q50">
        <v>1</v>
      </c>
      <c r="R50">
        <v>2</v>
      </c>
      <c r="S50" t="s">
        <v>39</v>
      </c>
      <c r="T50" t="s">
        <v>128</v>
      </c>
      <c r="U50" t="str">
        <f t="shared" si="1"/>
        <v>medium</v>
      </c>
      <c r="V50" t="str">
        <f t="shared" si="2"/>
        <v>mid-level,</v>
      </c>
      <c r="W50">
        <f>Table1[[#This Row],[Base_Salary]]*12%</f>
        <v>7652.4</v>
      </c>
    </row>
    <row r="51" spans="1:23" x14ac:dyDescent="0.3">
      <c r="A51">
        <v>1050</v>
      </c>
      <c r="B51" t="s">
        <v>129</v>
      </c>
      <c r="C51" t="s">
        <v>37</v>
      </c>
      <c r="D51" t="s">
        <v>59</v>
      </c>
      <c r="E51" t="s">
        <v>75</v>
      </c>
      <c r="F51" t="s">
        <v>43</v>
      </c>
      <c r="G51">
        <v>9</v>
      </c>
      <c r="H51" t="s">
        <v>53</v>
      </c>
      <c r="I51">
        <v>84725</v>
      </c>
      <c r="J51">
        <v>9258</v>
      </c>
      <c r="K51">
        <v>828</v>
      </c>
      <c r="L51">
        <v>5629</v>
      </c>
      <c r="M51">
        <v>1621</v>
      </c>
      <c r="N51">
        <v>8472</v>
      </c>
      <c r="O51">
        <f t="shared" si="0"/>
        <v>90347</v>
      </c>
      <c r="P51">
        <v>5</v>
      </c>
      <c r="Q51">
        <v>10</v>
      </c>
      <c r="R51">
        <v>1</v>
      </c>
      <c r="S51" t="s">
        <v>39</v>
      </c>
      <c r="T51" t="s">
        <v>130</v>
      </c>
      <c r="U51" t="str">
        <f t="shared" si="1"/>
        <v>high</v>
      </c>
      <c r="V51" t="str">
        <f t="shared" si="2"/>
        <v>senior</v>
      </c>
      <c r="W51">
        <f>Table1[[#This Row],[Base_Salary]]*12%</f>
        <v>10167</v>
      </c>
    </row>
    <row r="52" spans="1:23" x14ac:dyDescent="0.3">
      <c r="A52">
        <v>1051</v>
      </c>
      <c r="B52" t="s">
        <v>116</v>
      </c>
      <c r="C52" t="s">
        <v>46</v>
      </c>
      <c r="D52" t="s">
        <v>70</v>
      </c>
      <c r="E52" t="s">
        <v>26</v>
      </c>
      <c r="F52" t="s">
        <v>43</v>
      </c>
      <c r="G52">
        <v>5</v>
      </c>
      <c r="H52" t="s">
        <v>65</v>
      </c>
      <c r="I52">
        <v>46719</v>
      </c>
      <c r="J52">
        <v>6746</v>
      </c>
      <c r="K52">
        <v>2824</v>
      </c>
      <c r="L52">
        <v>1398</v>
      </c>
      <c r="M52">
        <v>4067</v>
      </c>
      <c r="N52">
        <v>4671</v>
      </c>
      <c r="O52">
        <f t="shared" si="0"/>
        <v>48949</v>
      </c>
      <c r="P52">
        <v>2</v>
      </c>
      <c r="Q52">
        <v>2</v>
      </c>
      <c r="R52">
        <v>14</v>
      </c>
      <c r="S52" t="s">
        <v>29</v>
      </c>
      <c r="T52" t="s">
        <v>131</v>
      </c>
      <c r="U52" t="str">
        <f t="shared" si="1"/>
        <v>medium</v>
      </c>
      <c r="V52" t="str">
        <f t="shared" si="2"/>
        <v>mid-level,</v>
      </c>
      <c r="W52">
        <f>Table1[[#This Row],[Base_Salary]]*12%</f>
        <v>5606.28</v>
      </c>
    </row>
    <row r="53" spans="1:23" x14ac:dyDescent="0.3">
      <c r="A53">
        <v>1052</v>
      </c>
      <c r="B53" t="s">
        <v>98</v>
      </c>
      <c r="C53" t="s">
        <v>62</v>
      </c>
      <c r="D53" t="s">
        <v>25</v>
      </c>
      <c r="E53" t="s">
        <v>47</v>
      </c>
      <c r="F53" t="s">
        <v>27</v>
      </c>
      <c r="G53">
        <v>9</v>
      </c>
      <c r="H53" t="s">
        <v>53</v>
      </c>
      <c r="I53">
        <v>78193</v>
      </c>
      <c r="J53">
        <v>4401</v>
      </c>
      <c r="K53">
        <v>2310</v>
      </c>
      <c r="L53">
        <v>2905</v>
      </c>
      <c r="M53">
        <v>4551</v>
      </c>
      <c r="N53">
        <v>7819</v>
      </c>
      <c r="O53">
        <f t="shared" si="0"/>
        <v>75439</v>
      </c>
      <c r="P53">
        <v>4</v>
      </c>
      <c r="Q53">
        <v>6</v>
      </c>
      <c r="R53">
        <v>15</v>
      </c>
      <c r="S53" t="s">
        <v>39</v>
      </c>
      <c r="T53" t="s">
        <v>132</v>
      </c>
      <c r="U53" t="str">
        <f t="shared" si="1"/>
        <v>high</v>
      </c>
      <c r="V53" t="str">
        <f t="shared" si="2"/>
        <v>senior</v>
      </c>
      <c r="W53">
        <f>Table1[[#This Row],[Base_Salary]]*12%</f>
        <v>9383.16</v>
      </c>
    </row>
    <row r="54" spans="1:23" x14ac:dyDescent="0.3">
      <c r="A54">
        <v>1053</v>
      </c>
      <c r="B54" t="s">
        <v>118</v>
      </c>
      <c r="C54" t="s">
        <v>24</v>
      </c>
      <c r="D54" t="s">
        <v>70</v>
      </c>
      <c r="E54" t="s">
        <v>75</v>
      </c>
      <c r="F54" t="s">
        <v>27</v>
      </c>
      <c r="G54">
        <v>7</v>
      </c>
      <c r="H54" t="s">
        <v>48</v>
      </c>
      <c r="I54">
        <v>36590</v>
      </c>
      <c r="J54">
        <v>6706</v>
      </c>
      <c r="K54">
        <v>1323</v>
      </c>
      <c r="L54">
        <v>5529</v>
      </c>
      <c r="M54">
        <v>4523</v>
      </c>
      <c r="N54">
        <v>3659</v>
      </c>
      <c r="O54">
        <f t="shared" si="0"/>
        <v>41966</v>
      </c>
      <c r="P54">
        <v>4</v>
      </c>
      <c r="Q54">
        <v>5</v>
      </c>
      <c r="R54">
        <v>13</v>
      </c>
      <c r="S54" t="s">
        <v>39</v>
      </c>
      <c r="T54" t="s">
        <v>133</v>
      </c>
      <c r="U54" t="str">
        <f t="shared" si="1"/>
        <v>medium</v>
      </c>
      <c r="V54" t="str">
        <f t="shared" si="2"/>
        <v>senior</v>
      </c>
      <c r="W54">
        <f>Table1[[#This Row],[Base_Salary]]*12%</f>
        <v>4390.8</v>
      </c>
    </row>
    <row r="55" spans="1:23" x14ac:dyDescent="0.3">
      <c r="A55">
        <v>1054</v>
      </c>
      <c r="B55" t="s">
        <v>92</v>
      </c>
      <c r="C55" t="s">
        <v>37</v>
      </c>
      <c r="D55" t="s">
        <v>38</v>
      </c>
      <c r="E55" t="s">
        <v>47</v>
      </c>
      <c r="F55" t="s">
        <v>43</v>
      </c>
      <c r="G55">
        <v>8</v>
      </c>
      <c r="H55" t="s">
        <v>34</v>
      </c>
      <c r="I55">
        <v>45946</v>
      </c>
      <c r="J55">
        <v>6329</v>
      </c>
      <c r="K55">
        <v>1423</v>
      </c>
      <c r="L55">
        <v>5182</v>
      </c>
      <c r="M55">
        <v>2911</v>
      </c>
      <c r="N55">
        <v>4594</v>
      </c>
      <c r="O55">
        <f t="shared" si="0"/>
        <v>51375</v>
      </c>
      <c r="P55">
        <v>2</v>
      </c>
      <c r="Q55">
        <v>3</v>
      </c>
      <c r="R55">
        <v>12</v>
      </c>
      <c r="S55" t="s">
        <v>39</v>
      </c>
      <c r="T55" t="s">
        <v>134</v>
      </c>
      <c r="U55" t="str">
        <f t="shared" si="1"/>
        <v>medium</v>
      </c>
      <c r="V55" t="str">
        <f t="shared" si="2"/>
        <v>senior</v>
      </c>
      <c r="W55">
        <f>Table1[[#This Row],[Base_Salary]]*12%</f>
        <v>5513.5199999999995</v>
      </c>
    </row>
    <row r="56" spans="1:23" x14ac:dyDescent="0.3">
      <c r="A56">
        <v>1055</v>
      </c>
      <c r="B56" t="s">
        <v>135</v>
      </c>
      <c r="C56" t="s">
        <v>62</v>
      </c>
      <c r="D56" t="s">
        <v>59</v>
      </c>
      <c r="E56" t="s">
        <v>52</v>
      </c>
      <c r="F56" t="s">
        <v>43</v>
      </c>
      <c r="G56">
        <v>4</v>
      </c>
      <c r="H56" t="s">
        <v>34</v>
      </c>
      <c r="I56">
        <v>76916</v>
      </c>
      <c r="J56">
        <v>8730</v>
      </c>
      <c r="K56">
        <v>1235</v>
      </c>
      <c r="L56">
        <v>3190</v>
      </c>
      <c r="M56">
        <v>4373</v>
      </c>
      <c r="N56">
        <v>7691</v>
      </c>
      <c r="O56">
        <f t="shared" si="0"/>
        <v>78007</v>
      </c>
      <c r="P56">
        <v>5</v>
      </c>
      <c r="Q56">
        <v>9</v>
      </c>
      <c r="R56">
        <v>4</v>
      </c>
      <c r="S56" t="s">
        <v>39</v>
      </c>
      <c r="T56" t="s">
        <v>136</v>
      </c>
      <c r="U56" t="str">
        <f t="shared" si="1"/>
        <v>high</v>
      </c>
      <c r="V56" t="str">
        <f t="shared" si="2"/>
        <v>mid-level,</v>
      </c>
      <c r="W56">
        <f>Table1[[#This Row],[Base_Salary]]*12%</f>
        <v>9229.92</v>
      </c>
    </row>
    <row r="57" spans="1:23" x14ac:dyDescent="0.3">
      <c r="A57">
        <v>1056</v>
      </c>
      <c r="B57" t="s">
        <v>118</v>
      </c>
      <c r="C57" t="s">
        <v>37</v>
      </c>
      <c r="D57" t="s">
        <v>70</v>
      </c>
      <c r="E57" t="s">
        <v>52</v>
      </c>
      <c r="F57" t="s">
        <v>27</v>
      </c>
      <c r="G57">
        <v>4</v>
      </c>
      <c r="H57" t="s">
        <v>48</v>
      </c>
      <c r="I57">
        <v>46889</v>
      </c>
      <c r="J57">
        <v>4154</v>
      </c>
      <c r="K57">
        <v>2633</v>
      </c>
      <c r="L57">
        <v>2539</v>
      </c>
      <c r="M57">
        <v>1845</v>
      </c>
      <c r="N57">
        <v>4688</v>
      </c>
      <c r="O57">
        <f t="shared" si="0"/>
        <v>49682</v>
      </c>
      <c r="P57">
        <v>3</v>
      </c>
      <c r="Q57">
        <v>9</v>
      </c>
      <c r="R57">
        <v>9</v>
      </c>
      <c r="S57" t="s">
        <v>39</v>
      </c>
      <c r="T57" t="s">
        <v>137</v>
      </c>
      <c r="U57" t="str">
        <f t="shared" si="1"/>
        <v>medium</v>
      </c>
      <c r="V57" t="str">
        <f t="shared" si="2"/>
        <v>mid-level,</v>
      </c>
      <c r="W57">
        <f>Table1[[#This Row],[Base_Salary]]*12%</f>
        <v>5626.6799999999994</v>
      </c>
    </row>
    <row r="58" spans="1:23" x14ac:dyDescent="0.3">
      <c r="A58">
        <v>1057</v>
      </c>
      <c r="B58" t="s">
        <v>110</v>
      </c>
      <c r="C58" t="s">
        <v>42</v>
      </c>
      <c r="D58" t="s">
        <v>32</v>
      </c>
      <c r="E58" t="s">
        <v>86</v>
      </c>
      <c r="F58" t="s">
        <v>43</v>
      </c>
      <c r="G58">
        <v>6</v>
      </c>
      <c r="H58" t="s">
        <v>65</v>
      </c>
      <c r="I58">
        <v>86004</v>
      </c>
      <c r="J58">
        <v>3390</v>
      </c>
      <c r="K58">
        <v>2031</v>
      </c>
      <c r="L58">
        <v>2176</v>
      </c>
      <c r="M58">
        <v>3268</v>
      </c>
      <c r="N58">
        <v>8600</v>
      </c>
      <c r="O58">
        <f t="shared" si="0"/>
        <v>81733</v>
      </c>
      <c r="P58">
        <v>3</v>
      </c>
      <c r="Q58">
        <v>10</v>
      </c>
      <c r="R58">
        <v>8</v>
      </c>
      <c r="S58" t="s">
        <v>39</v>
      </c>
      <c r="T58" t="s">
        <v>138</v>
      </c>
      <c r="U58" t="str">
        <f t="shared" si="1"/>
        <v>high</v>
      </c>
      <c r="V58" t="str">
        <f t="shared" si="2"/>
        <v>mid-level,</v>
      </c>
      <c r="W58">
        <f>Table1[[#This Row],[Base_Salary]]*12%</f>
        <v>10320.48</v>
      </c>
    </row>
    <row r="59" spans="1:23" x14ac:dyDescent="0.3">
      <c r="A59">
        <v>1058</v>
      </c>
      <c r="B59" t="s">
        <v>139</v>
      </c>
      <c r="C59" t="s">
        <v>51</v>
      </c>
      <c r="D59" t="s">
        <v>32</v>
      </c>
      <c r="E59" t="s">
        <v>26</v>
      </c>
      <c r="F59" t="s">
        <v>43</v>
      </c>
      <c r="G59">
        <v>8</v>
      </c>
      <c r="H59" t="s">
        <v>28</v>
      </c>
      <c r="I59">
        <v>34093</v>
      </c>
      <c r="J59">
        <v>2906</v>
      </c>
      <c r="K59">
        <v>3175</v>
      </c>
      <c r="L59">
        <v>5928</v>
      </c>
      <c r="M59">
        <v>2459</v>
      </c>
      <c r="N59">
        <v>3409</v>
      </c>
      <c r="O59">
        <f t="shared" si="0"/>
        <v>40234</v>
      </c>
      <c r="P59">
        <v>4</v>
      </c>
      <c r="Q59">
        <v>10</v>
      </c>
      <c r="R59">
        <v>15</v>
      </c>
      <c r="S59" t="s">
        <v>29</v>
      </c>
      <c r="T59" t="s">
        <v>140</v>
      </c>
      <c r="U59" t="str">
        <f t="shared" si="1"/>
        <v>medium</v>
      </c>
      <c r="V59" t="str">
        <f t="shared" si="2"/>
        <v>senior</v>
      </c>
      <c r="W59">
        <f>Table1[[#This Row],[Base_Salary]]*12%</f>
        <v>4091.16</v>
      </c>
    </row>
    <row r="60" spans="1:23" x14ac:dyDescent="0.3">
      <c r="A60">
        <v>1059</v>
      </c>
      <c r="B60" t="s">
        <v>141</v>
      </c>
      <c r="C60" t="s">
        <v>62</v>
      </c>
      <c r="D60" t="s">
        <v>25</v>
      </c>
      <c r="E60" t="s">
        <v>52</v>
      </c>
      <c r="F60" t="s">
        <v>27</v>
      </c>
      <c r="G60">
        <v>10</v>
      </c>
      <c r="H60" t="s">
        <v>34</v>
      </c>
      <c r="I60">
        <v>79641</v>
      </c>
      <c r="J60">
        <v>4284</v>
      </c>
      <c r="K60">
        <v>1051</v>
      </c>
      <c r="L60">
        <v>4332</v>
      </c>
      <c r="M60">
        <v>2147</v>
      </c>
      <c r="N60">
        <v>7964</v>
      </c>
      <c r="O60">
        <f t="shared" si="0"/>
        <v>79197</v>
      </c>
      <c r="P60">
        <v>2</v>
      </c>
      <c r="Q60">
        <v>9</v>
      </c>
      <c r="R60">
        <v>15</v>
      </c>
      <c r="S60" t="s">
        <v>39</v>
      </c>
      <c r="T60" t="s">
        <v>142</v>
      </c>
      <c r="U60" t="str">
        <f t="shared" si="1"/>
        <v>high</v>
      </c>
      <c r="V60" t="str">
        <f t="shared" si="2"/>
        <v>senior</v>
      </c>
      <c r="W60">
        <f>Table1[[#This Row],[Base_Salary]]*12%</f>
        <v>9556.92</v>
      </c>
    </row>
    <row r="61" spans="1:23" x14ac:dyDescent="0.3">
      <c r="A61">
        <v>1060</v>
      </c>
      <c r="B61" t="s">
        <v>31</v>
      </c>
      <c r="C61" t="s">
        <v>24</v>
      </c>
      <c r="D61" t="s">
        <v>32</v>
      </c>
      <c r="E61" t="s">
        <v>47</v>
      </c>
      <c r="F61" t="s">
        <v>27</v>
      </c>
      <c r="G61">
        <v>10</v>
      </c>
      <c r="H61" t="s">
        <v>34</v>
      </c>
      <c r="I61">
        <v>80712</v>
      </c>
      <c r="J61">
        <v>3530</v>
      </c>
      <c r="K61">
        <v>3980</v>
      </c>
      <c r="L61">
        <v>3623</v>
      </c>
      <c r="M61">
        <v>3216</v>
      </c>
      <c r="N61">
        <v>8071</v>
      </c>
      <c r="O61">
        <f t="shared" si="0"/>
        <v>80558</v>
      </c>
      <c r="P61">
        <v>4</v>
      </c>
      <c r="Q61">
        <v>4</v>
      </c>
      <c r="R61">
        <v>11</v>
      </c>
      <c r="S61" t="s">
        <v>39</v>
      </c>
      <c r="T61" t="s">
        <v>143</v>
      </c>
      <c r="U61" t="str">
        <f t="shared" si="1"/>
        <v>high</v>
      </c>
      <c r="V61" t="str">
        <f t="shared" si="2"/>
        <v>senior</v>
      </c>
      <c r="W61">
        <f>Table1[[#This Row],[Base_Salary]]*12%</f>
        <v>9685.44</v>
      </c>
    </row>
    <row r="62" spans="1:23" x14ac:dyDescent="0.3">
      <c r="A62">
        <v>1061</v>
      </c>
      <c r="B62" t="s">
        <v>144</v>
      </c>
      <c r="C62" t="s">
        <v>62</v>
      </c>
      <c r="D62" t="s">
        <v>25</v>
      </c>
      <c r="E62" t="s">
        <v>75</v>
      </c>
      <c r="F62" t="s">
        <v>43</v>
      </c>
      <c r="G62">
        <v>8</v>
      </c>
      <c r="H62" t="s">
        <v>53</v>
      </c>
      <c r="I62">
        <v>57010</v>
      </c>
      <c r="J62">
        <v>2481</v>
      </c>
      <c r="K62">
        <v>3873</v>
      </c>
      <c r="L62">
        <v>1720</v>
      </c>
      <c r="M62">
        <v>1964</v>
      </c>
      <c r="N62">
        <v>5701</v>
      </c>
      <c r="O62">
        <f t="shared" si="0"/>
        <v>57419</v>
      </c>
      <c r="P62">
        <v>3</v>
      </c>
      <c r="Q62">
        <v>1</v>
      </c>
      <c r="R62">
        <v>11</v>
      </c>
      <c r="S62" t="s">
        <v>29</v>
      </c>
      <c r="T62" t="s">
        <v>145</v>
      </c>
      <c r="U62" t="str">
        <f t="shared" si="1"/>
        <v>medium</v>
      </c>
      <c r="V62" t="str">
        <f t="shared" si="2"/>
        <v>senior</v>
      </c>
      <c r="W62">
        <f>Table1[[#This Row],[Base_Salary]]*12%</f>
        <v>6841.2</v>
      </c>
    </row>
    <row r="63" spans="1:23" x14ac:dyDescent="0.3">
      <c r="A63">
        <v>1062</v>
      </c>
      <c r="B63" t="s">
        <v>146</v>
      </c>
      <c r="C63" t="s">
        <v>24</v>
      </c>
      <c r="D63" t="s">
        <v>59</v>
      </c>
      <c r="E63" t="s">
        <v>86</v>
      </c>
      <c r="F63" t="s">
        <v>27</v>
      </c>
      <c r="G63">
        <v>3</v>
      </c>
      <c r="H63" t="s">
        <v>48</v>
      </c>
      <c r="I63">
        <v>88876</v>
      </c>
      <c r="J63">
        <v>6886</v>
      </c>
      <c r="K63">
        <v>3685</v>
      </c>
      <c r="L63">
        <v>2027</v>
      </c>
      <c r="M63">
        <v>1976</v>
      </c>
      <c r="N63">
        <v>8887</v>
      </c>
      <c r="O63">
        <f t="shared" si="0"/>
        <v>90611</v>
      </c>
      <c r="P63">
        <v>4</v>
      </c>
      <c r="Q63">
        <v>6</v>
      </c>
      <c r="R63">
        <v>4</v>
      </c>
      <c r="S63" t="s">
        <v>39</v>
      </c>
      <c r="T63" t="s">
        <v>147</v>
      </c>
      <c r="U63" t="str">
        <f t="shared" si="1"/>
        <v>high</v>
      </c>
      <c r="V63" t="str">
        <f t="shared" si="2"/>
        <v>mid-level,</v>
      </c>
      <c r="W63">
        <f>Table1[[#This Row],[Base_Salary]]*12%</f>
        <v>10665.119999999999</v>
      </c>
    </row>
    <row r="64" spans="1:23" x14ac:dyDescent="0.3">
      <c r="A64">
        <v>1063</v>
      </c>
      <c r="B64" t="s">
        <v>148</v>
      </c>
      <c r="C64" t="s">
        <v>51</v>
      </c>
      <c r="D64" t="s">
        <v>70</v>
      </c>
      <c r="E64" t="s">
        <v>26</v>
      </c>
      <c r="F64" t="s">
        <v>27</v>
      </c>
      <c r="G64">
        <v>5</v>
      </c>
      <c r="H64" t="s">
        <v>28</v>
      </c>
      <c r="I64">
        <v>42270</v>
      </c>
      <c r="J64">
        <v>4409</v>
      </c>
      <c r="K64">
        <v>2158</v>
      </c>
      <c r="L64">
        <v>2525</v>
      </c>
      <c r="M64">
        <v>2412</v>
      </c>
      <c r="N64">
        <v>4227</v>
      </c>
      <c r="O64">
        <f t="shared" si="0"/>
        <v>44723</v>
      </c>
      <c r="P64">
        <v>3</v>
      </c>
      <c r="Q64">
        <v>2</v>
      </c>
      <c r="R64">
        <v>14</v>
      </c>
      <c r="S64" t="s">
        <v>39</v>
      </c>
      <c r="T64" t="s">
        <v>149</v>
      </c>
      <c r="U64" t="str">
        <f t="shared" si="1"/>
        <v>medium</v>
      </c>
      <c r="V64" t="str">
        <f t="shared" si="2"/>
        <v>mid-level,</v>
      </c>
      <c r="W64">
        <f>Table1[[#This Row],[Base_Salary]]*12%</f>
        <v>5072.3999999999996</v>
      </c>
    </row>
    <row r="65" spans="1:23" x14ac:dyDescent="0.3">
      <c r="A65">
        <v>1064</v>
      </c>
      <c r="B65" t="s">
        <v>85</v>
      </c>
      <c r="C65" t="s">
        <v>37</v>
      </c>
      <c r="D65" t="s">
        <v>25</v>
      </c>
      <c r="E65" t="s">
        <v>52</v>
      </c>
      <c r="F65" t="s">
        <v>43</v>
      </c>
      <c r="G65">
        <v>9</v>
      </c>
      <c r="H65" t="s">
        <v>34</v>
      </c>
      <c r="I65">
        <v>54296</v>
      </c>
      <c r="J65">
        <v>2530</v>
      </c>
      <c r="K65">
        <v>1237</v>
      </c>
      <c r="L65">
        <v>1315</v>
      </c>
      <c r="M65">
        <v>2816</v>
      </c>
      <c r="N65">
        <v>5429</v>
      </c>
      <c r="O65">
        <f t="shared" si="0"/>
        <v>51133</v>
      </c>
      <c r="P65">
        <v>4</v>
      </c>
      <c r="Q65">
        <v>4</v>
      </c>
      <c r="R65">
        <v>5</v>
      </c>
      <c r="S65" t="s">
        <v>29</v>
      </c>
      <c r="T65" t="s">
        <v>150</v>
      </c>
      <c r="U65" t="str">
        <f t="shared" si="1"/>
        <v>medium</v>
      </c>
      <c r="V65" t="str">
        <f t="shared" si="2"/>
        <v>senior</v>
      </c>
      <c r="W65">
        <f>Table1[[#This Row],[Base_Salary]]*12%</f>
        <v>6515.5199999999995</v>
      </c>
    </row>
    <row r="66" spans="1:23" x14ac:dyDescent="0.3">
      <c r="A66">
        <v>1065</v>
      </c>
      <c r="B66" t="s">
        <v>112</v>
      </c>
      <c r="C66" t="s">
        <v>42</v>
      </c>
      <c r="D66" t="s">
        <v>38</v>
      </c>
      <c r="E66" t="s">
        <v>26</v>
      </c>
      <c r="F66" t="s">
        <v>27</v>
      </c>
      <c r="G66">
        <v>8</v>
      </c>
      <c r="H66" t="s">
        <v>28</v>
      </c>
      <c r="I66">
        <v>52046</v>
      </c>
      <c r="J66">
        <v>6289</v>
      </c>
      <c r="K66">
        <v>1438</v>
      </c>
      <c r="L66">
        <v>5046</v>
      </c>
      <c r="M66">
        <v>2266</v>
      </c>
      <c r="N66">
        <v>5204</v>
      </c>
      <c r="O66">
        <f t="shared" si="0"/>
        <v>57349</v>
      </c>
      <c r="P66">
        <v>3</v>
      </c>
      <c r="Q66">
        <v>2</v>
      </c>
      <c r="R66">
        <v>2</v>
      </c>
      <c r="S66" t="s">
        <v>39</v>
      </c>
      <c r="T66" t="s">
        <v>151</v>
      </c>
      <c r="U66" t="str">
        <f t="shared" si="1"/>
        <v>medium</v>
      </c>
      <c r="V66" t="str">
        <f t="shared" si="2"/>
        <v>senior</v>
      </c>
      <c r="W66">
        <f>Table1[[#This Row],[Base_Salary]]*12%</f>
        <v>6245.5199999999995</v>
      </c>
    </row>
    <row r="67" spans="1:23" x14ac:dyDescent="0.3">
      <c r="A67">
        <v>1066</v>
      </c>
      <c r="B67" t="s">
        <v>152</v>
      </c>
      <c r="C67" t="s">
        <v>51</v>
      </c>
      <c r="D67" t="s">
        <v>25</v>
      </c>
      <c r="E67" t="s">
        <v>52</v>
      </c>
      <c r="F67" t="s">
        <v>27</v>
      </c>
      <c r="G67">
        <v>3</v>
      </c>
      <c r="H67" t="s">
        <v>28</v>
      </c>
      <c r="I67">
        <v>73796</v>
      </c>
      <c r="J67">
        <v>3350</v>
      </c>
      <c r="K67">
        <v>1701</v>
      </c>
      <c r="L67">
        <v>4477</v>
      </c>
      <c r="M67">
        <v>3468</v>
      </c>
      <c r="N67">
        <v>7379</v>
      </c>
      <c r="O67">
        <f t="shared" ref="O67:O121" si="3">I67+J67+K67+L67-M67-N67</f>
        <v>72477</v>
      </c>
      <c r="P67">
        <v>3</v>
      </c>
      <c r="Q67">
        <v>2</v>
      </c>
      <c r="R67">
        <v>3</v>
      </c>
      <c r="S67" t="s">
        <v>29</v>
      </c>
      <c r="T67" t="s">
        <v>153</v>
      </c>
      <c r="U67" t="str">
        <f t="shared" ref="U67:U121" si="4">IF(O67&lt;40000,"low",IF(O67&lt;70000,"medium","high"))</f>
        <v>high</v>
      </c>
      <c r="V67" t="str">
        <f t="shared" ref="V67:V121" si="5">IF(G67&lt;3,"junior",IF(G67&lt;7,"mid-level,","senior"))</f>
        <v>mid-level,</v>
      </c>
      <c r="W67">
        <f>Table1[[#This Row],[Base_Salary]]*12%</f>
        <v>8855.52</v>
      </c>
    </row>
    <row r="68" spans="1:23" x14ac:dyDescent="0.3">
      <c r="A68">
        <v>1067</v>
      </c>
      <c r="B68" t="s">
        <v>92</v>
      </c>
      <c r="C68" t="s">
        <v>46</v>
      </c>
      <c r="D68" t="s">
        <v>32</v>
      </c>
      <c r="E68" t="s">
        <v>52</v>
      </c>
      <c r="F68" t="s">
        <v>27</v>
      </c>
      <c r="G68">
        <v>1</v>
      </c>
      <c r="H68" t="s">
        <v>48</v>
      </c>
      <c r="I68">
        <v>62105</v>
      </c>
      <c r="J68">
        <v>6266</v>
      </c>
      <c r="K68">
        <v>707</v>
      </c>
      <c r="L68">
        <v>4412</v>
      </c>
      <c r="M68">
        <v>2805</v>
      </c>
      <c r="N68">
        <v>6210</v>
      </c>
      <c r="O68">
        <f t="shared" si="3"/>
        <v>64475</v>
      </c>
      <c r="P68">
        <v>4</v>
      </c>
      <c r="Q68">
        <v>4</v>
      </c>
      <c r="R68">
        <v>6</v>
      </c>
      <c r="S68" t="s">
        <v>39</v>
      </c>
      <c r="T68" t="s">
        <v>154</v>
      </c>
      <c r="U68" t="str">
        <f t="shared" si="4"/>
        <v>medium</v>
      </c>
      <c r="V68" t="str">
        <f t="shared" si="5"/>
        <v>junior</v>
      </c>
      <c r="W68">
        <f>Table1[[#This Row],[Base_Salary]]*12%</f>
        <v>7452.5999999999995</v>
      </c>
    </row>
    <row r="69" spans="1:23" x14ac:dyDescent="0.3">
      <c r="A69">
        <v>1068</v>
      </c>
      <c r="B69" t="s">
        <v>126</v>
      </c>
      <c r="C69" t="s">
        <v>42</v>
      </c>
      <c r="D69" t="s">
        <v>59</v>
      </c>
      <c r="E69" t="s">
        <v>86</v>
      </c>
      <c r="F69" t="s">
        <v>27</v>
      </c>
      <c r="G69">
        <v>3</v>
      </c>
      <c r="H69" t="s">
        <v>34</v>
      </c>
      <c r="I69">
        <v>44957</v>
      </c>
      <c r="J69">
        <v>4154</v>
      </c>
      <c r="K69">
        <v>1665</v>
      </c>
      <c r="L69">
        <v>2148</v>
      </c>
      <c r="M69">
        <v>2811</v>
      </c>
      <c r="N69">
        <v>4495</v>
      </c>
      <c r="O69">
        <f t="shared" si="3"/>
        <v>45618</v>
      </c>
      <c r="P69">
        <v>2</v>
      </c>
      <c r="Q69">
        <v>7</v>
      </c>
      <c r="R69">
        <v>5</v>
      </c>
      <c r="S69" t="s">
        <v>39</v>
      </c>
      <c r="T69" t="s">
        <v>155</v>
      </c>
      <c r="U69" t="str">
        <f t="shared" si="4"/>
        <v>medium</v>
      </c>
      <c r="V69" t="str">
        <f t="shared" si="5"/>
        <v>mid-level,</v>
      </c>
      <c r="W69">
        <f>Table1[[#This Row],[Base_Salary]]*12%</f>
        <v>5394.84</v>
      </c>
    </row>
    <row r="70" spans="1:23" x14ac:dyDescent="0.3">
      <c r="A70">
        <v>1069</v>
      </c>
      <c r="B70" t="s">
        <v>156</v>
      </c>
      <c r="C70" t="s">
        <v>24</v>
      </c>
      <c r="D70" t="s">
        <v>32</v>
      </c>
      <c r="E70" t="s">
        <v>75</v>
      </c>
      <c r="F70" t="s">
        <v>43</v>
      </c>
      <c r="G70">
        <v>6</v>
      </c>
      <c r="H70" t="s">
        <v>65</v>
      </c>
      <c r="I70">
        <v>36171</v>
      </c>
      <c r="J70">
        <v>4648</v>
      </c>
      <c r="K70">
        <v>735</v>
      </c>
      <c r="L70">
        <v>4298</v>
      </c>
      <c r="M70">
        <v>4914</v>
      </c>
      <c r="N70">
        <v>3617</v>
      </c>
      <c r="O70">
        <f t="shared" si="3"/>
        <v>37321</v>
      </c>
      <c r="P70">
        <v>2</v>
      </c>
      <c r="Q70">
        <v>7</v>
      </c>
      <c r="R70">
        <v>2</v>
      </c>
      <c r="S70" t="s">
        <v>39</v>
      </c>
      <c r="T70" t="s">
        <v>157</v>
      </c>
      <c r="U70" t="str">
        <f t="shared" si="4"/>
        <v>low</v>
      </c>
      <c r="V70" t="str">
        <f t="shared" si="5"/>
        <v>mid-level,</v>
      </c>
      <c r="W70">
        <f>Table1[[#This Row],[Base_Salary]]*12%</f>
        <v>4340.5199999999995</v>
      </c>
    </row>
    <row r="71" spans="1:23" x14ac:dyDescent="0.3">
      <c r="A71">
        <v>1070</v>
      </c>
      <c r="B71" t="s">
        <v>90</v>
      </c>
      <c r="C71" t="s">
        <v>42</v>
      </c>
      <c r="D71" t="s">
        <v>25</v>
      </c>
      <c r="E71" t="s">
        <v>47</v>
      </c>
      <c r="F71" t="s">
        <v>43</v>
      </c>
      <c r="G71">
        <v>5</v>
      </c>
      <c r="H71" t="s">
        <v>65</v>
      </c>
      <c r="I71">
        <v>66227</v>
      </c>
      <c r="J71">
        <v>9089</v>
      </c>
      <c r="K71">
        <v>1686</v>
      </c>
      <c r="L71">
        <v>3050</v>
      </c>
      <c r="M71">
        <v>1298</v>
      </c>
      <c r="N71">
        <v>6622</v>
      </c>
      <c r="O71">
        <f t="shared" si="3"/>
        <v>72132</v>
      </c>
      <c r="P71">
        <v>5</v>
      </c>
      <c r="Q71">
        <v>3</v>
      </c>
      <c r="R71">
        <v>7</v>
      </c>
      <c r="S71" t="s">
        <v>39</v>
      </c>
      <c r="T71" t="s">
        <v>158</v>
      </c>
      <c r="U71" t="str">
        <f t="shared" si="4"/>
        <v>high</v>
      </c>
      <c r="V71" t="str">
        <f t="shared" si="5"/>
        <v>mid-level,</v>
      </c>
      <c r="W71">
        <f>Table1[[#This Row],[Base_Salary]]*12%</f>
        <v>7947.24</v>
      </c>
    </row>
    <row r="72" spans="1:23" x14ac:dyDescent="0.3">
      <c r="A72">
        <v>1071</v>
      </c>
      <c r="B72" t="s">
        <v>80</v>
      </c>
      <c r="C72" t="s">
        <v>24</v>
      </c>
      <c r="D72" t="s">
        <v>70</v>
      </c>
      <c r="E72" t="s">
        <v>86</v>
      </c>
      <c r="F72" t="s">
        <v>43</v>
      </c>
      <c r="G72">
        <v>1</v>
      </c>
      <c r="H72" t="s">
        <v>48</v>
      </c>
      <c r="I72">
        <v>33393</v>
      </c>
      <c r="J72">
        <v>8499</v>
      </c>
      <c r="K72">
        <v>3509</v>
      </c>
      <c r="L72">
        <v>1982</v>
      </c>
      <c r="M72">
        <v>1993</v>
      </c>
      <c r="N72">
        <v>3339</v>
      </c>
      <c r="O72">
        <f t="shared" si="3"/>
        <v>42051</v>
      </c>
      <c r="P72">
        <v>5</v>
      </c>
      <c r="Q72">
        <v>5</v>
      </c>
      <c r="R72">
        <v>8</v>
      </c>
      <c r="S72" t="s">
        <v>39</v>
      </c>
      <c r="T72" t="s">
        <v>159</v>
      </c>
      <c r="U72" t="str">
        <f t="shared" si="4"/>
        <v>medium</v>
      </c>
      <c r="V72" t="str">
        <f t="shared" si="5"/>
        <v>junior</v>
      </c>
      <c r="W72">
        <f>Table1[[#This Row],[Base_Salary]]*12%</f>
        <v>4007.16</v>
      </c>
    </row>
    <row r="73" spans="1:23" x14ac:dyDescent="0.3">
      <c r="A73">
        <v>1072</v>
      </c>
      <c r="B73" t="s">
        <v>31</v>
      </c>
      <c r="C73" t="s">
        <v>51</v>
      </c>
      <c r="D73" t="s">
        <v>25</v>
      </c>
      <c r="E73" t="s">
        <v>52</v>
      </c>
      <c r="F73" t="s">
        <v>43</v>
      </c>
      <c r="G73">
        <v>10</v>
      </c>
      <c r="H73" t="s">
        <v>28</v>
      </c>
      <c r="I73">
        <v>46665</v>
      </c>
      <c r="J73">
        <v>6697</v>
      </c>
      <c r="K73">
        <v>997</v>
      </c>
      <c r="L73">
        <v>3349</v>
      </c>
      <c r="M73">
        <v>4983</v>
      </c>
      <c r="N73">
        <v>4666</v>
      </c>
      <c r="O73">
        <f t="shared" si="3"/>
        <v>48059</v>
      </c>
      <c r="P73">
        <v>3</v>
      </c>
      <c r="Q73">
        <v>10</v>
      </c>
      <c r="R73">
        <v>5</v>
      </c>
      <c r="S73" t="s">
        <v>39</v>
      </c>
      <c r="T73" t="s">
        <v>160</v>
      </c>
      <c r="U73" t="str">
        <f t="shared" si="4"/>
        <v>medium</v>
      </c>
      <c r="V73" t="str">
        <f t="shared" si="5"/>
        <v>senior</v>
      </c>
      <c r="W73">
        <f>Table1[[#This Row],[Base_Salary]]*12%</f>
        <v>5599.8</v>
      </c>
    </row>
    <row r="74" spans="1:23" x14ac:dyDescent="0.3">
      <c r="A74">
        <v>1073</v>
      </c>
      <c r="B74" t="s">
        <v>77</v>
      </c>
      <c r="C74" t="s">
        <v>46</v>
      </c>
      <c r="D74" t="s">
        <v>32</v>
      </c>
      <c r="E74" t="s">
        <v>26</v>
      </c>
      <c r="F74" t="s">
        <v>43</v>
      </c>
      <c r="G74">
        <v>2</v>
      </c>
      <c r="H74" t="s">
        <v>53</v>
      </c>
      <c r="I74">
        <v>36616</v>
      </c>
      <c r="J74">
        <v>7385</v>
      </c>
      <c r="K74">
        <v>1070</v>
      </c>
      <c r="L74">
        <v>1219</v>
      </c>
      <c r="M74">
        <v>1200</v>
      </c>
      <c r="N74">
        <v>3661</v>
      </c>
      <c r="O74">
        <f t="shared" si="3"/>
        <v>41429</v>
      </c>
      <c r="P74">
        <v>3</v>
      </c>
      <c r="Q74">
        <v>4</v>
      </c>
      <c r="R74">
        <v>15</v>
      </c>
      <c r="S74" t="s">
        <v>39</v>
      </c>
      <c r="T74" t="s">
        <v>161</v>
      </c>
      <c r="U74" t="str">
        <f t="shared" si="4"/>
        <v>medium</v>
      </c>
      <c r="V74" t="str">
        <f t="shared" si="5"/>
        <v>junior</v>
      </c>
      <c r="W74">
        <f>Table1[[#This Row],[Base_Salary]]*12%</f>
        <v>4393.92</v>
      </c>
    </row>
    <row r="75" spans="1:23" x14ac:dyDescent="0.3">
      <c r="A75">
        <v>1074</v>
      </c>
      <c r="B75" t="s">
        <v>148</v>
      </c>
      <c r="C75" t="s">
        <v>42</v>
      </c>
      <c r="D75" t="s">
        <v>70</v>
      </c>
      <c r="E75" t="s">
        <v>26</v>
      </c>
      <c r="F75" t="s">
        <v>43</v>
      </c>
      <c r="G75">
        <v>8</v>
      </c>
      <c r="H75" t="s">
        <v>48</v>
      </c>
      <c r="I75">
        <v>53721</v>
      </c>
      <c r="J75">
        <v>8320</v>
      </c>
      <c r="K75">
        <v>1023</v>
      </c>
      <c r="L75">
        <v>1185</v>
      </c>
      <c r="M75">
        <v>1662</v>
      </c>
      <c r="N75">
        <v>5372</v>
      </c>
      <c r="O75">
        <f t="shared" si="3"/>
        <v>57215</v>
      </c>
      <c r="P75">
        <v>2</v>
      </c>
      <c r="Q75">
        <v>3</v>
      </c>
      <c r="R75">
        <v>7</v>
      </c>
      <c r="S75" t="s">
        <v>39</v>
      </c>
      <c r="T75" t="s">
        <v>162</v>
      </c>
      <c r="U75" t="str">
        <f t="shared" si="4"/>
        <v>medium</v>
      </c>
      <c r="V75" t="str">
        <f t="shared" si="5"/>
        <v>senior</v>
      </c>
      <c r="W75">
        <f>Table1[[#This Row],[Base_Salary]]*12%</f>
        <v>6446.5199999999995</v>
      </c>
    </row>
    <row r="76" spans="1:23" x14ac:dyDescent="0.3">
      <c r="A76">
        <v>1075</v>
      </c>
      <c r="B76" t="s">
        <v>129</v>
      </c>
      <c r="C76" t="s">
        <v>62</v>
      </c>
      <c r="D76" t="s">
        <v>70</v>
      </c>
      <c r="E76" t="s">
        <v>33</v>
      </c>
      <c r="F76" t="s">
        <v>43</v>
      </c>
      <c r="G76">
        <v>7</v>
      </c>
      <c r="H76" t="s">
        <v>53</v>
      </c>
      <c r="I76">
        <v>85841</v>
      </c>
      <c r="J76">
        <v>6854</v>
      </c>
      <c r="K76">
        <v>3331</v>
      </c>
      <c r="L76">
        <v>4078</v>
      </c>
      <c r="M76">
        <v>3524</v>
      </c>
      <c r="N76">
        <v>8584</v>
      </c>
      <c r="O76">
        <f t="shared" si="3"/>
        <v>87996</v>
      </c>
      <c r="P76">
        <v>5</v>
      </c>
      <c r="Q76">
        <v>10</v>
      </c>
      <c r="R76">
        <v>11</v>
      </c>
      <c r="S76" t="s">
        <v>29</v>
      </c>
      <c r="T76" t="s">
        <v>163</v>
      </c>
      <c r="U76" t="str">
        <f t="shared" si="4"/>
        <v>high</v>
      </c>
      <c r="V76" t="str">
        <f t="shared" si="5"/>
        <v>senior</v>
      </c>
      <c r="W76">
        <f>Table1[[#This Row],[Base_Salary]]*12%</f>
        <v>10300.92</v>
      </c>
    </row>
    <row r="77" spans="1:23" x14ac:dyDescent="0.3">
      <c r="A77">
        <v>1076</v>
      </c>
      <c r="B77" t="s">
        <v>90</v>
      </c>
      <c r="C77" t="s">
        <v>46</v>
      </c>
      <c r="D77" t="s">
        <v>38</v>
      </c>
      <c r="E77" t="s">
        <v>75</v>
      </c>
      <c r="F77" t="s">
        <v>27</v>
      </c>
      <c r="G77">
        <v>7</v>
      </c>
      <c r="H77" t="s">
        <v>48</v>
      </c>
      <c r="I77">
        <v>59932</v>
      </c>
      <c r="J77">
        <v>2330</v>
      </c>
      <c r="K77">
        <v>3612</v>
      </c>
      <c r="L77">
        <v>4328</v>
      </c>
      <c r="M77">
        <v>4833</v>
      </c>
      <c r="N77">
        <v>5993</v>
      </c>
      <c r="O77">
        <f t="shared" si="3"/>
        <v>59376</v>
      </c>
      <c r="P77">
        <v>4</v>
      </c>
      <c r="Q77">
        <v>6</v>
      </c>
      <c r="R77">
        <v>0</v>
      </c>
      <c r="S77" t="s">
        <v>29</v>
      </c>
      <c r="T77" t="s">
        <v>164</v>
      </c>
      <c r="U77" t="str">
        <f t="shared" si="4"/>
        <v>medium</v>
      </c>
      <c r="V77" t="str">
        <f t="shared" si="5"/>
        <v>senior</v>
      </c>
      <c r="W77">
        <f>Table1[[#This Row],[Base_Salary]]*12%</f>
        <v>7191.84</v>
      </c>
    </row>
    <row r="78" spans="1:23" x14ac:dyDescent="0.3">
      <c r="A78">
        <v>1077</v>
      </c>
      <c r="B78" t="s">
        <v>90</v>
      </c>
      <c r="C78" t="s">
        <v>46</v>
      </c>
      <c r="D78" t="s">
        <v>38</v>
      </c>
      <c r="E78" t="s">
        <v>75</v>
      </c>
      <c r="F78" t="s">
        <v>43</v>
      </c>
      <c r="G78">
        <v>6</v>
      </c>
      <c r="H78" t="s">
        <v>53</v>
      </c>
      <c r="I78">
        <v>43741</v>
      </c>
      <c r="J78">
        <v>6532</v>
      </c>
      <c r="K78">
        <v>1123</v>
      </c>
      <c r="L78">
        <v>5580</v>
      </c>
      <c r="M78">
        <v>3679</v>
      </c>
      <c r="N78">
        <v>4374</v>
      </c>
      <c r="O78">
        <f t="shared" si="3"/>
        <v>48923</v>
      </c>
      <c r="P78">
        <v>3</v>
      </c>
      <c r="Q78">
        <v>2</v>
      </c>
      <c r="R78">
        <v>5</v>
      </c>
      <c r="S78" t="s">
        <v>39</v>
      </c>
      <c r="T78" t="s">
        <v>165</v>
      </c>
      <c r="U78" t="str">
        <f t="shared" si="4"/>
        <v>medium</v>
      </c>
      <c r="V78" t="str">
        <f t="shared" si="5"/>
        <v>mid-level,</v>
      </c>
      <c r="W78">
        <f>Table1[[#This Row],[Base_Salary]]*12%</f>
        <v>5248.92</v>
      </c>
    </row>
    <row r="79" spans="1:23" x14ac:dyDescent="0.3">
      <c r="A79">
        <v>1078</v>
      </c>
      <c r="B79" t="s">
        <v>126</v>
      </c>
      <c r="C79" t="s">
        <v>46</v>
      </c>
      <c r="D79" t="s">
        <v>25</v>
      </c>
      <c r="E79" t="s">
        <v>86</v>
      </c>
      <c r="F79" t="s">
        <v>43</v>
      </c>
      <c r="G79">
        <v>8</v>
      </c>
      <c r="H79" t="s">
        <v>28</v>
      </c>
      <c r="I79">
        <v>74162</v>
      </c>
      <c r="J79">
        <v>4564</v>
      </c>
      <c r="K79">
        <v>1974</v>
      </c>
      <c r="L79">
        <v>5407</v>
      </c>
      <c r="M79">
        <v>1532</v>
      </c>
      <c r="N79">
        <v>7416</v>
      </c>
      <c r="O79">
        <f t="shared" si="3"/>
        <v>77159</v>
      </c>
      <c r="P79">
        <v>4</v>
      </c>
      <c r="Q79">
        <v>8</v>
      </c>
      <c r="R79">
        <v>1</v>
      </c>
      <c r="S79" t="s">
        <v>39</v>
      </c>
      <c r="T79" t="s">
        <v>166</v>
      </c>
      <c r="U79" t="str">
        <f t="shared" si="4"/>
        <v>high</v>
      </c>
      <c r="V79" t="str">
        <f t="shared" si="5"/>
        <v>senior</v>
      </c>
      <c r="W79">
        <f>Table1[[#This Row],[Base_Salary]]*12%</f>
        <v>8899.44</v>
      </c>
    </row>
    <row r="80" spans="1:23" x14ac:dyDescent="0.3">
      <c r="A80">
        <v>1079</v>
      </c>
      <c r="B80" t="s">
        <v>167</v>
      </c>
      <c r="C80" t="s">
        <v>46</v>
      </c>
      <c r="D80" t="s">
        <v>38</v>
      </c>
      <c r="E80" t="s">
        <v>33</v>
      </c>
      <c r="F80" t="s">
        <v>43</v>
      </c>
      <c r="G80">
        <v>5</v>
      </c>
      <c r="H80" t="s">
        <v>34</v>
      </c>
      <c r="I80">
        <v>82571</v>
      </c>
      <c r="J80">
        <v>9629</v>
      </c>
      <c r="K80">
        <v>3463</v>
      </c>
      <c r="L80">
        <v>3017</v>
      </c>
      <c r="M80">
        <v>1181</v>
      </c>
      <c r="N80">
        <v>8257</v>
      </c>
      <c r="O80">
        <f t="shared" si="3"/>
        <v>89242</v>
      </c>
      <c r="P80">
        <v>4</v>
      </c>
      <c r="Q80">
        <v>5</v>
      </c>
      <c r="R80">
        <v>8</v>
      </c>
      <c r="S80" t="s">
        <v>39</v>
      </c>
      <c r="T80" t="s">
        <v>168</v>
      </c>
      <c r="U80" t="str">
        <f t="shared" si="4"/>
        <v>high</v>
      </c>
      <c r="V80" t="str">
        <f t="shared" si="5"/>
        <v>mid-level,</v>
      </c>
      <c r="W80">
        <f>Table1[[#This Row],[Base_Salary]]*12%</f>
        <v>9908.52</v>
      </c>
    </row>
    <row r="81" spans="1:23" x14ac:dyDescent="0.3">
      <c r="A81">
        <v>1080</v>
      </c>
      <c r="B81" t="s">
        <v>58</v>
      </c>
      <c r="C81" t="s">
        <v>51</v>
      </c>
      <c r="D81" t="s">
        <v>38</v>
      </c>
      <c r="E81" t="s">
        <v>47</v>
      </c>
      <c r="F81" t="s">
        <v>43</v>
      </c>
      <c r="G81">
        <v>5</v>
      </c>
      <c r="H81" t="s">
        <v>34</v>
      </c>
      <c r="I81">
        <v>32482</v>
      </c>
      <c r="J81">
        <v>7899</v>
      </c>
      <c r="K81">
        <v>1673</v>
      </c>
      <c r="L81">
        <v>1928</v>
      </c>
      <c r="M81">
        <v>3969</v>
      </c>
      <c r="N81">
        <v>3248</v>
      </c>
      <c r="O81">
        <f t="shared" si="3"/>
        <v>36765</v>
      </c>
      <c r="P81">
        <v>5</v>
      </c>
      <c r="Q81">
        <v>4</v>
      </c>
      <c r="R81">
        <v>14</v>
      </c>
      <c r="S81" t="s">
        <v>39</v>
      </c>
      <c r="T81" t="s">
        <v>169</v>
      </c>
      <c r="U81" t="str">
        <f t="shared" si="4"/>
        <v>low</v>
      </c>
      <c r="V81" t="str">
        <f t="shared" si="5"/>
        <v>mid-level,</v>
      </c>
      <c r="W81">
        <f>Table1[[#This Row],[Base_Salary]]*12%</f>
        <v>3897.8399999999997</v>
      </c>
    </row>
    <row r="82" spans="1:23" x14ac:dyDescent="0.3">
      <c r="A82">
        <v>1081</v>
      </c>
      <c r="B82" t="s">
        <v>104</v>
      </c>
      <c r="C82" t="s">
        <v>62</v>
      </c>
      <c r="D82" t="s">
        <v>32</v>
      </c>
      <c r="E82" t="s">
        <v>26</v>
      </c>
      <c r="F82" t="s">
        <v>43</v>
      </c>
      <c r="G82">
        <v>10</v>
      </c>
      <c r="H82" t="s">
        <v>28</v>
      </c>
      <c r="I82">
        <v>49911</v>
      </c>
      <c r="J82">
        <v>2881</v>
      </c>
      <c r="K82">
        <v>3104</v>
      </c>
      <c r="L82">
        <v>1034</v>
      </c>
      <c r="M82">
        <v>1771</v>
      </c>
      <c r="N82">
        <v>4991</v>
      </c>
      <c r="O82">
        <f t="shared" si="3"/>
        <v>50168</v>
      </c>
      <c r="P82">
        <v>4</v>
      </c>
      <c r="Q82">
        <v>6</v>
      </c>
      <c r="R82">
        <v>11</v>
      </c>
      <c r="S82" t="s">
        <v>29</v>
      </c>
      <c r="T82" t="s">
        <v>170</v>
      </c>
      <c r="U82" t="str">
        <f t="shared" si="4"/>
        <v>medium</v>
      </c>
      <c r="V82" t="str">
        <f t="shared" si="5"/>
        <v>senior</v>
      </c>
      <c r="W82">
        <f>Table1[[#This Row],[Base_Salary]]*12%</f>
        <v>5989.32</v>
      </c>
    </row>
    <row r="83" spans="1:23" x14ac:dyDescent="0.3">
      <c r="A83">
        <v>1082</v>
      </c>
      <c r="B83" t="s">
        <v>45</v>
      </c>
      <c r="C83" t="s">
        <v>46</v>
      </c>
      <c r="D83" t="s">
        <v>38</v>
      </c>
      <c r="E83" t="s">
        <v>33</v>
      </c>
      <c r="F83" t="s">
        <v>27</v>
      </c>
      <c r="G83">
        <v>9</v>
      </c>
      <c r="H83" t="s">
        <v>34</v>
      </c>
      <c r="I83">
        <v>51559</v>
      </c>
      <c r="J83">
        <v>2415</v>
      </c>
      <c r="K83">
        <v>3697</v>
      </c>
      <c r="L83">
        <v>4530</v>
      </c>
      <c r="M83">
        <v>1016</v>
      </c>
      <c r="N83">
        <v>5155</v>
      </c>
      <c r="O83">
        <f t="shared" si="3"/>
        <v>56030</v>
      </c>
      <c r="P83">
        <v>5</v>
      </c>
      <c r="Q83">
        <v>9</v>
      </c>
      <c r="R83">
        <v>12</v>
      </c>
      <c r="S83" t="s">
        <v>29</v>
      </c>
      <c r="T83" t="s">
        <v>171</v>
      </c>
      <c r="U83" t="str">
        <f t="shared" si="4"/>
        <v>medium</v>
      </c>
      <c r="V83" t="str">
        <f t="shared" si="5"/>
        <v>senior</v>
      </c>
      <c r="W83">
        <f>Table1[[#This Row],[Base_Salary]]*12%</f>
        <v>6187.08</v>
      </c>
    </row>
    <row r="84" spans="1:23" x14ac:dyDescent="0.3">
      <c r="A84">
        <v>1083</v>
      </c>
      <c r="B84" t="s">
        <v>110</v>
      </c>
      <c r="C84" t="s">
        <v>42</v>
      </c>
      <c r="D84" t="s">
        <v>25</v>
      </c>
      <c r="E84" t="s">
        <v>86</v>
      </c>
      <c r="F84" t="s">
        <v>43</v>
      </c>
      <c r="G84">
        <v>8</v>
      </c>
      <c r="H84" t="s">
        <v>65</v>
      </c>
      <c r="I84">
        <v>68088</v>
      </c>
      <c r="J84">
        <v>9368</v>
      </c>
      <c r="K84">
        <v>2231</v>
      </c>
      <c r="L84">
        <v>5143</v>
      </c>
      <c r="M84">
        <v>1413</v>
      </c>
      <c r="N84">
        <v>6808</v>
      </c>
      <c r="O84">
        <f t="shared" si="3"/>
        <v>76609</v>
      </c>
      <c r="P84">
        <v>5</v>
      </c>
      <c r="Q84">
        <v>3</v>
      </c>
      <c r="R84">
        <v>11</v>
      </c>
      <c r="S84" t="s">
        <v>29</v>
      </c>
      <c r="T84" t="s">
        <v>172</v>
      </c>
      <c r="U84" t="str">
        <f t="shared" si="4"/>
        <v>high</v>
      </c>
      <c r="V84" t="str">
        <f t="shared" si="5"/>
        <v>senior</v>
      </c>
      <c r="W84">
        <f>Table1[[#This Row],[Base_Salary]]*12%</f>
        <v>8170.5599999999995</v>
      </c>
    </row>
    <row r="85" spans="1:23" x14ac:dyDescent="0.3">
      <c r="A85">
        <v>1084</v>
      </c>
      <c r="B85" t="s">
        <v>36</v>
      </c>
      <c r="C85" t="s">
        <v>24</v>
      </c>
      <c r="D85" t="s">
        <v>70</v>
      </c>
      <c r="E85" t="s">
        <v>26</v>
      </c>
      <c r="F85" t="s">
        <v>43</v>
      </c>
      <c r="G85">
        <v>6</v>
      </c>
      <c r="H85" t="s">
        <v>65</v>
      </c>
      <c r="I85">
        <v>46136</v>
      </c>
      <c r="J85">
        <v>3280</v>
      </c>
      <c r="K85">
        <v>2039</v>
      </c>
      <c r="L85">
        <v>5080</v>
      </c>
      <c r="M85">
        <v>3575</v>
      </c>
      <c r="N85">
        <v>4613</v>
      </c>
      <c r="O85">
        <f t="shared" si="3"/>
        <v>48347</v>
      </c>
      <c r="P85">
        <v>4</v>
      </c>
      <c r="Q85">
        <v>9</v>
      </c>
      <c r="R85">
        <v>0</v>
      </c>
      <c r="S85" t="s">
        <v>39</v>
      </c>
      <c r="T85" t="s">
        <v>173</v>
      </c>
      <c r="U85" t="str">
        <f t="shared" si="4"/>
        <v>medium</v>
      </c>
      <c r="V85" t="str">
        <f t="shared" si="5"/>
        <v>mid-level,</v>
      </c>
      <c r="W85">
        <f>Table1[[#This Row],[Base_Salary]]*12%</f>
        <v>5536.32</v>
      </c>
    </row>
    <row r="86" spans="1:23" x14ac:dyDescent="0.3">
      <c r="A86">
        <v>1085</v>
      </c>
      <c r="B86" t="s">
        <v>174</v>
      </c>
      <c r="C86" t="s">
        <v>24</v>
      </c>
      <c r="D86" t="s">
        <v>32</v>
      </c>
      <c r="E86" t="s">
        <v>86</v>
      </c>
      <c r="F86" t="s">
        <v>43</v>
      </c>
      <c r="G86">
        <v>2</v>
      </c>
      <c r="H86" t="s">
        <v>34</v>
      </c>
      <c r="I86">
        <v>87203</v>
      </c>
      <c r="J86">
        <v>2224</v>
      </c>
      <c r="K86">
        <v>1832</v>
      </c>
      <c r="L86">
        <v>1598</v>
      </c>
      <c r="M86">
        <v>2070</v>
      </c>
      <c r="N86">
        <v>8720</v>
      </c>
      <c r="O86">
        <f t="shared" si="3"/>
        <v>82067</v>
      </c>
      <c r="P86">
        <v>2</v>
      </c>
      <c r="Q86">
        <v>9</v>
      </c>
      <c r="R86">
        <v>12</v>
      </c>
      <c r="S86" t="s">
        <v>39</v>
      </c>
      <c r="T86" t="s">
        <v>175</v>
      </c>
      <c r="U86" t="str">
        <f t="shared" si="4"/>
        <v>high</v>
      </c>
      <c r="V86" t="str">
        <f t="shared" si="5"/>
        <v>junior</v>
      </c>
      <c r="W86">
        <f>Table1[[#This Row],[Base_Salary]]*12%</f>
        <v>10464.359999999999</v>
      </c>
    </row>
    <row r="87" spans="1:23" x14ac:dyDescent="0.3">
      <c r="A87">
        <v>1086</v>
      </c>
      <c r="B87" t="s">
        <v>156</v>
      </c>
      <c r="C87" t="s">
        <v>51</v>
      </c>
      <c r="D87" t="s">
        <v>25</v>
      </c>
      <c r="E87" t="s">
        <v>75</v>
      </c>
      <c r="F87" t="s">
        <v>27</v>
      </c>
      <c r="G87">
        <v>2</v>
      </c>
      <c r="H87" t="s">
        <v>65</v>
      </c>
      <c r="I87">
        <v>79484</v>
      </c>
      <c r="J87">
        <v>4895</v>
      </c>
      <c r="K87">
        <v>3198</v>
      </c>
      <c r="L87">
        <v>1960</v>
      </c>
      <c r="M87">
        <v>4980</v>
      </c>
      <c r="N87">
        <v>7948</v>
      </c>
      <c r="O87">
        <f t="shared" si="3"/>
        <v>76609</v>
      </c>
      <c r="P87">
        <v>3</v>
      </c>
      <c r="Q87">
        <v>9</v>
      </c>
      <c r="R87">
        <v>2</v>
      </c>
      <c r="S87" t="s">
        <v>29</v>
      </c>
      <c r="T87" t="s">
        <v>176</v>
      </c>
      <c r="U87" t="str">
        <f t="shared" si="4"/>
        <v>high</v>
      </c>
      <c r="V87" t="str">
        <f t="shared" si="5"/>
        <v>junior</v>
      </c>
      <c r="W87">
        <f>Table1[[#This Row],[Base_Salary]]*12%</f>
        <v>9538.08</v>
      </c>
    </row>
    <row r="88" spans="1:23" x14ac:dyDescent="0.3">
      <c r="A88">
        <v>1087</v>
      </c>
      <c r="B88" t="s">
        <v>56</v>
      </c>
      <c r="C88" t="s">
        <v>24</v>
      </c>
      <c r="D88" t="s">
        <v>38</v>
      </c>
      <c r="E88" t="s">
        <v>26</v>
      </c>
      <c r="F88" t="s">
        <v>43</v>
      </c>
      <c r="G88">
        <v>1</v>
      </c>
      <c r="H88" t="s">
        <v>53</v>
      </c>
      <c r="I88">
        <v>82179</v>
      </c>
      <c r="J88">
        <v>5076</v>
      </c>
      <c r="K88">
        <v>1636</v>
      </c>
      <c r="L88">
        <v>3077</v>
      </c>
      <c r="M88">
        <v>4302</v>
      </c>
      <c r="N88">
        <v>8217</v>
      </c>
      <c r="O88">
        <f t="shared" si="3"/>
        <v>79449</v>
      </c>
      <c r="P88">
        <v>2</v>
      </c>
      <c r="Q88">
        <v>1</v>
      </c>
      <c r="R88">
        <v>4</v>
      </c>
      <c r="S88" t="s">
        <v>29</v>
      </c>
      <c r="T88" t="s">
        <v>177</v>
      </c>
      <c r="U88" t="str">
        <f t="shared" si="4"/>
        <v>high</v>
      </c>
      <c r="V88" t="str">
        <f t="shared" si="5"/>
        <v>junior</v>
      </c>
      <c r="W88">
        <f>Table1[[#This Row],[Base_Salary]]*12%</f>
        <v>9861.48</v>
      </c>
    </row>
    <row r="89" spans="1:23" x14ac:dyDescent="0.3">
      <c r="A89">
        <v>1088</v>
      </c>
      <c r="B89" t="s">
        <v>72</v>
      </c>
      <c r="C89" t="s">
        <v>37</v>
      </c>
      <c r="D89" t="s">
        <v>32</v>
      </c>
      <c r="E89" t="s">
        <v>33</v>
      </c>
      <c r="F89" t="s">
        <v>43</v>
      </c>
      <c r="G89">
        <v>1</v>
      </c>
      <c r="H89" t="s">
        <v>28</v>
      </c>
      <c r="I89">
        <v>51695</v>
      </c>
      <c r="J89">
        <v>9412</v>
      </c>
      <c r="K89">
        <v>2533</v>
      </c>
      <c r="L89">
        <v>4832</v>
      </c>
      <c r="M89">
        <v>1799</v>
      </c>
      <c r="N89">
        <v>5169</v>
      </c>
      <c r="O89">
        <f t="shared" si="3"/>
        <v>61504</v>
      </c>
      <c r="P89">
        <v>4</v>
      </c>
      <c r="Q89">
        <v>6</v>
      </c>
      <c r="R89">
        <v>1</v>
      </c>
      <c r="S89" t="s">
        <v>29</v>
      </c>
      <c r="T89" t="s">
        <v>178</v>
      </c>
      <c r="U89" t="str">
        <f t="shared" si="4"/>
        <v>medium</v>
      </c>
      <c r="V89" t="str">
        <f t="shared" si="5"/>
        <v>junior</v>
      </c>
      <c r="W89">
        <f>Table1[[#This Row],[Base_Salary]]*12%</f>
        <v>6203.4</v>
      </c>
    </row>
    <row r="90" spans="1:23" x14ac:dyDescent="0.3">
      <c r="A90">
        <v>1089</v>
      </c>
      <c r="B90" t="s">
        <v>179</v>
      </c>
      <c r="C90" t="s">
        <v>37</v>
      </c>
      <c r="D90" t="s">
        <v>25</v>
      </c>
      <c r="E90" t="s">
        <v>86</v>
      </c>
      <c r="F90" t="s">
        <v>27</v>
      </c>
      <c r="G90">
        <v>2</v>
      </c>
      <c r="H90" t="s">
        <v>34</v>
      </c>
      <c r="I90">
        <v>46084</v>
      </c>
      <c r="J90">
        <v>7925</v>
      </c>
      <c r="K90">
        <v>3680</v>
      </c>
      <c r="L90">
        <v>1082</v>
      </c>
      <c r="M90">
        <v>3242</v>
      </c>
      <c r="N90">
        <v>4608</v>
      </c>
      <c r="O90">
        <f t="shared" si="3"/>
        <v>50921</v>
      </c>
      <c r="P90">
        <v>3</v>
      </c>
      <c r="Q90">
        <v>3</v>
      </c>
      <c r="R90">
        <v>0</v>
      </c>
      <c r="S90" t="s">
        <v>29</v>
      </c>
      <c r="T90" t="s">
        <v>180</v>
      </c>
      <c r="U90" t="str">
        <f t="shared" si="4"/>
        <v>medium</v>
      </c>
      <c r="V90" t="str">
        <f t="shared" si="5"/>
        <v>junior</v>
      </c>
      <c r="W90">
        <f>Table1[[#This Row],[Base_Salary]]*12%</f>
        <v>5530.08</v>
      </c>
    </row>
    <row r="91" spans="1:23" x14ac:dyDescent="0.3">
      <c r="A91">
        <v>1090</v>
      </c>
      <c r="B91" t="s">
        <v>85</v>
      </c>
      <c r="C91" t="s">
        <v>24</v>
      </c>
      <c r="D91" t="s">
        <v>32</v>
      </c>
      <c r="E91" t="s">
        <v>52</v>
      </c>
      <c r="F91" t="s">
        <v>27</v>
      </c>
      <c r="G91">
        <v>1</v>
      </c>
      <c r="H91" t="s">
        <v>53</v>
      </c>
      <c r="I91">
        <v>59857</v>
      </c>
      <c r="J91">
        <v>9551</v>
      </c>
      <c r="K91">
        <v>2600</v>
      </c>
      <c r="L91">
        <v>2828</v>
      </c>
      <c r="M91">
        <v>2952</v>
      </c>
      <c r="N91">
        <v>5985</v>
      </c>
      <c r="O91">
        <f t="shared" si="3"/>
        <v>65899</v>
      </c>
      <c r="P91">
        <v>5</v>
      </c>
      <c r="Q91">
        <v>3</v>
      </c>
      <c r="R91">
        <v>6</v>
      </c>
      <c r="S91" t="s">
        <v>39</v>
      </c>
      <c r="T91" t="s">
        <v>181</v>
      </c>
      <c r="U91" t="str">
        <f t="shared" si="4"/>
        <v>medium</v>
      </c>
      <c r="V91" t="str">
        <f t="shared" si="5"/>
        <v>junior</v>
      </c>
      <c r="W91">
        <f>Table1[[#This Row],[Base_Salary]]*12%</f>
        <v>7182.84</v>
      </c>
    </row>
    <row r="92" spans="1:23" x14ac:dyDescent="0.3">
      <c r="A92">
        <v>1091</v>
      </c>
      <c r="B92" t="s">
        <v>129</v>
      </c>
      <c r="C92" t="s">
        <v>62</v>
      </c>
      <c r="D92" t="s">
        <v>25</v>
      </c>
      <c r="E92" t="s">
        <v>86</v>
      </c>
      <c r="F92" t="s">
        <v>43</v>
      </c>
      <c r="G92">
        <v>6</v>
      </c>
      <c r="H92" t="s">
        <v>34</v>
      </c>
      <c r="I92">
        <v>54645</v>
      </c>
      <c r="J92">
        <v>6843</v>
      </c>
      <c r="K92">
        <v>3153</v>
      </c>
      <c r="L92">
        <v>1432</v>
      </c>
      <c r="M92">
        <v>3929</v>
      </c>
      <c r="N92">
        <v>5464</v>
      </c>
      <c r="O92">
        <f t="shared" si="3"/>
        <v>56680</v>
      </c>
      <c r="P92">
        <v>3</v>
      </c>
      <c r="Q92">
        <v>9</v>
      </c>
      <c r="R92">
        <v>14</v>
      </c>
      <c r="S92" t="s">
        <v>29</v>
      </c>
      <c r="T92" t="s">
        <v>182</v>
      </c>
      <c r="U92" t="str">
        <f t="shared" si="4"/>
        <v>medium</v>
      </c>
      <c r="V92" t="str">
        <f t="shared" si="5"/>
        <v>mid-level,</v>
      </c>
      <c r="W92">
        <f>Table1[[#This Row],[Base_Salary]]*12%</f>
        <v>6557.4</v>
      </c>
    </row>
    <row r="93" spans="1:23" x14ac:dyDescent="0.3">
      <c r="A93">
        <v>1092</v>
      </c>
      <c r="B93" t="s">
        <v>101</v>
      </c>
      <c r="C93" t="s">
        <v>46</v>
      </c>
      <c r="D93" t="s">
        <v>38</v>
      </c>
      <c r="E93" t="s">
        <v>26</v>
      </c>
      <c r="F93" t="s">
        <v>43</v>
      </c>
      <c r="G93">
        <v>9</v>
      </c>
      <c r="H93" t="s">
        <v>48</v>
      </c>
      <c r="I93">
        <v>62920</v>
      </c>
      <c r="J93">
        <v>5860</v>
      </c>
      <c r="K93">
        <v>3104</v>
      </c>
      <c r="L93">
        <v>1422</v>
      </c>
      <c r="M93">
        <v>2021</v>
      </c>
      <c r="N93">
        <v>6292</v>
      </c>
      <c r="O93">
        <f t="shared" si="3"/>
        <v>64993</v>
      </c>
      <c r="P93">
        <v>2</v>
      </c>
      <c r="Q93">
        <v>4</v>
      </c>
      <c r="R93">
        <v>6</v>
      </c>
      <c r="S93" t="s">
        <v>39</v>
      </c>
      <c r="T93" t="s">
        <v>183</v>
      </c>
      <c r="U93" t="str">
        <f t="shared" si="4"/>
        <v>medium</v>
      </c>
      <c r="V93" t="str">
        <f t="shared" si="5"/>
        <v>senior</v>
      </c>
      <c r="W93">
        <f>Table1[[#This Row],[Base_Salary]]*12%</f>
        <v>7550.4</v>
      </c>
    </row>
    <row r="94" spans="1:23" x14ac:dyDescent="0.3">
      <c r="A94">
        <v>1093</v>
      </c>
      <c r="B94" t="s">
        <v>85</v>
      </c>
      <c r="C94" t="s">
        <v>37</v>
      </c>
      <c r="D94" t="s">
        <v>38</v>
      </c>
      <c r="E94" t="s">
        <v>47</v>
      </c>
      <c r="F94" t="s">
        <v>27</v>
      </c>
      <c r="G94">
        <v>8</v>
      </c>
      <c r="H94" t="s">
        <v>34</v>
      </c>
      <c r="I94">
        <v>74035</v>
      </c>
      <c r="J94">
        <v>2497</v>
      </c>
      <c r="K94">
        <v>3190</v>
      </c>
      <c r="L94">
        <v>3636</v>
      </c>
      <c r="M94">
        <v>1507</v>
      </c>
      <c r="N94">
        <v>7403</v>
      </c>
      <c r="O94">
        <f t="shared" si="3"/>
        <v>74448</v>
      </c>
      <c r="P94">
        <v>3</v>
      </c>
      <c r="Q94">
        <v>8</v>
      </c>
      <c r="R94">
        <v>15</v>
      </c>
      <c r="S94" t="s">
        <v>39</v>
      </c>
      <c r="T94" t="s">
        <v>184</v>
      </c>
      <c r="U94" t="str">
        <f t="shared" si="4"/>
        <v>high</v>
      </c>
      <c r="V94" t="str">
        <f t="shared" si="5"/>
        <v>senior</v>
      </c>
      <c r="W94">
        <f>Table1[[#This Row],[Base_Salary]]*12%</f>
        <v>8884.1999999999989</v>
      </c>
    </row>
    <row r="95" spans="1:23" x14ac:dyDescent="0.3">
      <c r="A95">
        <v>1094</v>
      </c>
      <c r="B95" t="s">
        <v>61</v>
      </c>
      <c r="C95" t="s">
        <v>46</v>
      </c>
      <c r="D95" t="s">
        <v>25</v>
      </c>
      <c r="E95" t="s">
        <v>26</v>
      </c>
      <c r="F95" t="s">
        <v>27</v>
      </c>
      <c r="G95">
        <v>6</v>
      </c>
      <c r="H95" t="s">
        <v>48</v>
      </c>
      <c r="I95">
        <v>82223</v>
      </c>
      <c r="J95">
        <v>6824</v>
      </c>
      <c r="K95">
        <v>1903</v>
      </c>
      <c r="L95">
        <v>5251</v>
      </c>
      <c r="M95">
        <v>1112</v>
      </c>
      <c r="N95">
        <v>8222</v>
      </c>
      <c r="O95">
        <f t="shared" si="3"/>
        <v>86867</v>
      </c>
      <c r="P95">
        <v>3</v>
      </c>
      <c r="Q95">
        <v>9</v>
      </c>
      <c r="R95">
        <v>14</v>
      </c>
      <c r="S95" t="s">
        <v>29</v>
      </c>
      <c r="T95" t="s">
        <v>185</v>
      </c>
      <c r="U95" t="str">
        <f t="shared" si="4"/>
        <v>high</v>
      </c>
      <c r="V95" t="str">
        <f t="shared" si="5"/>
        <v>mid-level,</v>
      </c>
      <c r="W95">
        <f>Table1[[#This Row],[Base_Salary]]*12%</f>
        <v>9866.76</v>
      </c>
    </row>
    <row r="96" spans="1:23" x14ac:dyDescent="0.3">
      <c r="A96">
        <v>1095</v>
      </c>
      <c r="B96" t="s">
        <v>141</v>
      </c>
      <c r="C96" t="s">
        <v>24</v>
      </c>
      <c r="D96" t="s">
        <v>38</v>
      </c>
      <c r="E96" t="s">
        <v>33</v>
      </c>
      <c r="F96" t="s">
        <v>43</v>
      </c>
      <c r="G96">
        <v>7</v>
      </c>
      <c r="H96" t="s">
        <v>48</v>
      </c>
      <c r="I96">
        <v>89266</v>
      </c>
      <c r="J96">
        <v>8290</v>
      </c>
      <c r="K96">
        <v>3235</v>
      </c>
      <c r="L96">
        <v>5970</v>
      </c>
      <c r="M96">
        <v>4924</v>
      </c>
      <c r="N96">
        <v>8926</v>
      </c>
      <c r="O96">
        <f t="shared" si="3"/>
        <v>92911</v>
      </c>
      <c r="P96">
        <v>5</v>
      </c>
      <c r="Q96">
        <v>7</v>
      </c>
      <c r="R96">
        <v>1</v>
      </c>
      <c r="S96" t="s">
        <v>29</v>
      </c>
      <c r="T96" t="s">
        <v>186</v>
      </c>
      <c r="U96" t="str">
        <f t="shared" si="4"/>
        <v>high</v>
      </c>
      <c r="V96" t="str">
        <f t="shared" si="5"/>
        <v>senior</v>
      </c>
      <c r="W96">
        <f>Table1[[#This Row],[Base_Salary]]*12%</f>
        <v>10711.92</v>
      </c>
    </row>
    <row r="97" spans="1:23" x14ac:dyDescent="0.3">
      <c r="A97">
        <v>1096</v>
      </c>
      <c r="B97" t="s">
        <v>74</v>
      </c>
      <c r="C97" t="s">
        <v>62</v>
      </c>
      <c r="D97" t="s">
        <v>25</v>
      </c>
      <c r="E97" t="s">
        <v>33</v>
      </c>
      <c r="F97" t="s">
        <v>43</v>
      </c>
      <c r="G97">
        <v>9</v>
      </c>
      <c r="H97" t="s">
        <v>48</v>
      </c>
      <c r="I97">
        <v>44063</v>
      </c>
      <c r="J97">
        <v>5942</v>
      </c>
      <c r="K97">
        <v>1522</v>
      </c>
      <c r="L97">
        <v>3527</v>
      </c>
      <c r="M97">
        <v>2828</v>
      </c>
      <c r="N97">
        <v>4406</v>
      </c>
      <c r="O97">
        <f t="shared" si="3"/>
        <v>47820</v>
      </c>
      <c r="P97">
        <v>3</v>
      </c>
      <c r="Q97">
        <v>1</v>
      </c>
      <c r="R97">
        <v>11</v>
      </c>
      <c r="S97" t="s">
        <v>39</v>
      </c>
      <c r="T97" t="s">
        <v>187</v>
      </c>
      <c r="U97" t="str">
        <f t="shared" si="4"/>
        <v>medium</v>
      </c>
      <c r="V97" t="str">
        <f t="shared" si="5"/>
        <v>senior</v>
      </c>
      <c r="W97">
        <f>Table1[[#This Row],[Base_Salary]]*12%</f>
        <v>5287.5599999999995</v>
      </c>
    </row>
    <row r="98" spans="1:23" x14ac:dyDescent="0.3">
      <c r="A98">
        <v>1097</v>
      </c>
      <c r="B98" t="s">
        <v>188</v>
      </c>
      <c r="C98" t="s">
        <v>37</v>
      </c>
      <c r="D98" t="s">
        <v>59</v>
      </c>
      <c r="E98" t="s">
        <v>33</v>
      </c>
      <c r="F98" t="s">
        <v>27</v>
      </c>
      <c r="G98">
        <v>1</v>
      </c>
      <c r="H98" t="s">
        <v>48</v>
      </c>
      <c r="I98">
        <v>60879</v>
      </c>
      <c r="J98">
        <v>8920</v>
      </c>
      <c r="K98">
        <v>1682</v>
      </c>
      <c r="L98">
        <v>2828</v>
      </c>
      <c r="M98">
        <v>3211</v>
      </c>
      <c r="N98">
        <v>6087</v>
      </c>
      <c r="O98">
        <f t="shared" si="3"/>
        <v>65011</v>
      </c>
      <c r="P98">
        <v>2</v>
      </c>
      <c r="Q98">
        <v>1</v>
      </c>
      <c r="R98">
        <v>10</v>
      </c>
      <c r="S98" t="s">
        <v>39</v>
      </c>
      <c r="T98" t="s">
        <v>189</v>
      </c>
      <c r="U98" t="str">
        <f t="shared" si="4"/>
        <v>medium</v>
      </c>
      <c r="V98" t="str">
        <f t="shared" si="5"/>
        <v>junior</v>
      </c>
      <c r="W98">
        <f>Table1[[#This Row],[Base_Salary]]*12%</f>
        <v>7305.48</v>
      </c>
    </row>
    <row r="99" spans="1:23" x14ac:dyDescent="0.3">
      <c r="A99">
        <v>1098</v>
      </c>
      <c r="B99" t="s">
        <v>50</v>
      </c>
      <c r="C99" t="s">
        <v>62</v>
      </c>
      <c r="D99" t="s">
        <v>32</v>
      </c>
      <c r="E99" t="s">
        <v>75</v>
      </c>
      <c r="F99" t="s">
        <v>43</v>
      </c>
      <c r="G99">
        <v>1</v>
      </c>
      <c r="H99" t="s">
        <v>65</v>
      </c>
      <c r="I99">
        <v>88903</v>
      </c>
      <c r="J99">
        <v>5773</v>
      </c>
      <c r="K99">
        <v>2203</v>
      </c>
      <c r="L99">
        <v>5181</v>
      </c>
      <c r="M99">
        <v>4575</v>
      </c>
      <c r="N99">
        <v>8890</v>
      </c>
      <c r="O99">
        <f t="shared" si="3"/>
        <v>88595</v>
      </c>
      <c r="P99">
        <v>4</v>
      </c>
      <c r="Q99">
        <v>10</v>
      </c>
      <c r="R99">
        <v>9</v>
      </c>
      <c r="S99" t="s">
        <v>29</v>
      </c>
      <c r="T99" t="s">
        <v>190</v>
      </c>
      <c r="U99" t="str">
        <f t="shared" si="4"/>
        <v>high</v>
      </c>
      <c r="V99" t="str">
        <f t="shared" si="5"/>
        <v>junior</v>
      </c>
      <c r="W99">
        <f>Table1[[#This Row],[Base_Salary]]*12%</f>
        <v>10668.359999999999</v>
      </c>
    </row>
    <row r="100" spans="1:23" x14ac:dyDescent="0.3">
      <c r="A100">
        <v>1099</v>
      </c>
      <c r="B100" t="s">
        <v>85</v>
      </c>
      <c r="C100" t="s">
        <v>24</v>
      </c>
      <c r="D100" t="s">
        <v>59</v>
      </c>
      <c r="E100" t="s">
        <v>75</v>
      </c>
      <c r="F100" t="s">
        <v>27</v>
      </c>
      <c r="G100">
        <v>7</v>
      </c>
      <c r="H100" t="s">
        <v>65</v>
      </c>
      <c r="I100">
        <v>62247</v>
      </c>
      <c r="J100">
        <v>8002</v>
      </c>
      <c r="K100">
        <v>1647</v>
      </c>
      <c r="L100">
        <v>4045</v>
      </c>
      <c r="M100">
        <v>1268</v>
      </c>
      <c r="N100">
        <v>6224</v>
      </c>
      <c r="O100">
        <f t="shared" si="3"/>
        <v>68449</v>
      </c>
      <c r="P100">
        <v>3</v>
      </c>
      <c r="Q100">
        <v>5</v>
      </c>
      <c r="R100">
        <v>15</v>
      </c>
      <c r="S100" t="s">
        <v>39</v>
      </c>
      <c r="T100" t="s">
        <v>191</v>
      </c>
      <c r="U100" t="str">
        <f t="shared" si="4"/>
        <v>medium</v>
      </c>
      <c r="V100" t="str">
        <f t="shared" si="5"/>
        <v>senior</v>
      </c>
      <c r="W100">
        <f>Table1[[#This Row],[Base_Salary]]*12%</f>
        <v>7469.6399999999994</v>
      </c>
    </row>
    <row r="101" spans="1:23" x14ac:dyDescent="0.3">
      <c r="A101">
        <v>1100</v>
      </c>
      <c r="B101" t="s">
        <v>92</v>
      </c>
      <c r="C101" t="s">
        <v>62</v>
      </c>
      <c r="D101" t="s">
        <v>32</v>
      </c>
      <c r="E101" t="s">
        <v>33</v>
      </c>
      <c r="F101" t="s">
        <v>43</v>
      </c>
      <c r="G101">
        <v>6</v>
      </c>
      <c r="H101" t="s">
        <v>34</v>
      </c>
      <c r="I101">
        <v>76096</v>
      </c>
      <c r="J101">
        <v>8213</v>
      </c>
      <c r="K101">
        <v>2289</v>
      </c>
      <c r="L101">
        <v>3512</v>
      </c>
      <c r="M101">
        <v>3131</v>
      </c>
      <c r="N101">
        <v>7609</v>
      </c>
      <c r="O101">
        <f t="shared" si="3"/>
        <v>79370</v>
      </c>
      <c r="P101">
        <v>2</v>
      </c>
      <c r="Q101">
        <v>5</v>
      </c>
      <c r="R101">
        <v>10</v>
      </c>
      <c r="S101" t="s">
        <v>29</v>
      </c>
      <c r="T101" t="s">
        <v>192</v>
      </c>
      <c r="U101" t="str">
        <f t="shared" si="4"/>
        <v>high</v>
      </c>
      <c r="V101" t="str">
        <f t="shared" si="5"/>
        <v>mid-level,</v>
      </c>
      <c r="W101">
        <f>Table1[[#This Row],[Base_Salary]]*12%</f>
        <v>9131.52</v>
      </c>
    </row>
    <row r="102" spans="1:23" x14ac:dyDescent="0.3">
      <c r="A102">
        <v>1101</v>
      </c>
      <c r="B102" t="s">
        <v>72</v>
      </c>
      <c r="C102" t="s">
        <v>51</v>
      </c>
      <c r="D102" t="s">
        <v>59</v>
      </c>
      <c r="E102" t="s">
        <v>26</v>
      </c>
      <c r="F102" t="s">
        <v>27</v>
      </c>
      <c r="G102">
        <v>5</v>
      </c>
      <c r="H102" t="s">
        <v>28</v>
      </c>
      <c r="I102">
        <v>50374</v>
      </c>
      <c r="J102">
        <v>8649</v>
      </c>
      <c r="K102">
        <v>1523</v>
      </c>
      <c r="L102">
        <v>5827</v>
      </c>
      <c r="M102">
        <v>3065</v>
      </c>
      <c r="N102">
        <v>5037</v>
      </c>
      <c r="O102">
        <f t="shared" si="3"/>
        <v>58271</v>
      </c>
      <c r="P102">
        <v>4</v>
      </c>
      <c r="Q102">
        <v>2</v>
      </c>
      <c r="R102">
        <v>14</v>
      </c>
      <c r="S102" t="s">
        <v>29</v>
      </c>
      <c r="T102" t="s">
        <v>193</v>
      </c>
      <c r="U102" t="str">
        <f t="shared" si="4"/>
        <v>medium</v>
      </c>
      <c r="V102" t="str">
        <f t="shared" si="5"/>
        <v>mid-level,</v>
      </c>
      <c r="W102">
        <f>Table1[[#This Row],[Base_Salary]]*12%</f>
        <v>6044.88</v>
      </c>
    </row>
    <row r="103" spans="1:23" x14ac:dyDescent="0.3">
      <c r="A103">
        <v>1102</v>
      </c>
      <c r="B103" t="s">
        <v>56</v>
      </c>
      <c r="C103" t="s">
        <v>46</v>
      </c>
      <c r="D103" t="s">
        <v>70</v>
      </c>
      <c r="E103" t="s">
        <v>47</v>
      </c>
      <c r="F103" t="s">
        <v>27</v>
      </c>
      <c r="G103">
        <v>4</v>
      </c>
      <c r="H103" t="s">
        <v>34</v>
      </c>
      <c r="I103">
        <v>31742</v>
      </c>
      <c r="J103">
        <v>6953</v>
      </c>
      <c r="K103">
        <v>621</v>
      </c>
      <c r="L103">
        <v>3728</v>
      </c>
      <c r="M103">
        <v>2789</v>
      </c>
      <c r="N103">
        <v>3174</v>
      </c>
      <c r="O103">
        <f t="shared" si="3"/>
        <v>37081</v>
      </c>
      <c r="P103">
        <v>4</v>
      </c>
      <c r="Q103">
        <v>3</v>
      </c>
      <c r="R103">
        <v>5</v>
      </c>
      <c r="S103" t="s">
        <v>29</v>
      </c>
      <c r="T103" t="s">
        <v>194</v>
      </c>
      <c r="U103" t="str">
        <f t="shared" si="4"/>
        <v>low</v>
      </c>
      <c r="V103" t="str">
        <f t="shared" si="5"/>
        <v>mid-level,</v>
      </c>
      <c r="W103">
        <f>Table1[[#This Row],[Base_Salary]]*12%</f>
        <v>3809.04</v>
      </c>
    </row>
    <row r="104" spans="1:23" x14ac:dyDescent="0.3">
      <c r="A104">
        <v>1103</v>
      </c>
      <c r="B104" t="s">
        <v>56</v>
      </c>
      <c r="C104" t="s">
        <v>24</v>
      </c>
      <c r="D104" t="s">
        <v>59</v>
      </c>
      <c r="E104" t="s">
        <v>47</v>
      </c>
      <c r="F104" t="s">
        <v>43</v>
      </c>
      <c r="G104">
        <v>5</v>
      </c>
      <c r="H104" t="s">
        <v>65</v>
      </c>
      <c r="I104">
        <v>75886</v>
      </c>
      <c r="J104">
        <v>4161</v>
      </c>
      <c r="K104">
        <v>2347</v>
      </c>
      <c r="L104">
        <v>3484</v>
      </c>
      <c r="M104">
        <v>4113</v>
      </c>
      <c r="N104">
        <v>7588</v>
      </c>
      <c r="O104">
        <f t="shared" si="3"/>
        <v>74177</v>
      </c>
      <c r="P104">
        <v>2</v>
      </c>
      <c r="Q104">
        <v>6</v>
      </c>
      <c r="R104">
        <v>7</v>
      </c>
      <c r="S104" t="s">
        <v>39</v>
      </c>
      <c r="T104" t="s">
        <v>195</v>
      </c>
      <c r="U104" t="str">
        <f t="shared" si="4"/>
        <v>high</v>
      </c>
      <c r="V104" t="str">
        <f t="shared" si="5"/>
        <v>mid-level,</v>
      </c>
      <c r="W104">
        <f>Table1[[#This Row],[Base_Salary]]*12%</f>
        <v>9106.32</v>
      </c>
    </row>
    <row r="105" spans="1:23" x14ac:dyDescent="0.3">
      <c r="A105">
        <v>1104</v>
      </c>
      <c r="B105" t="s">
        <v>31</v>
      </c>
      <c r="C105" t="s">
        <v>62</v>
      </c>
      <c r="D105" t="s">
        <v>59</v>
      </c>
      <c r="E105" t="s">
        <v>47</v>
      </c>
      <c r="F105" t="s">
        <v>43</v>
      </c>
      <c r="G105">
        <v>5</v>
      </c>
      <c r="H105" t="s">
        <v>53</v>
      </c>
      <c r="I105">
        <v>65537</v>
      </c>
      <c r="J105">
        <v>4058</v>
      </c>
      <c r="K105">
        <v>2344</v>
      </c>
      <c r="L105">
        <v>3526</v>
      </c>
      <c r="M105">
        <v>2782</v>
      </c>
      <c r="N105">
        <v>6553</v>
      </c>
      <c r="O105">
        <f t="shared" si="3"/>
        <v>66130</v>
      </c>
      <c r="P105">
        <v>5</v>
      </c>
      <c r="Q105">
        <v>9</v>
      </c>
      <c r="R105">
        <v>11</v>
      </c>
      <c r="S105" t="s">
        <v>39</v>
      </c>
      <c r="T105" t="s">
        <v>196</v>
      </c>
      <c r="U105" t="str">
        <f t="shared" si="4"/>
        <v>medium</v>
      </c>
      <c r="V105" t="str">
        <f t="shared" si="5"/>
        <v>mid-level,</v>
      </c>
      <c r="W105">
        <f>Table1[[#This Row],[Base_Salary]]*12%</f>
        <v>7864.44</v>
      </c>
    </row>
    <row r="106" spans="1:23" x14ac:dyDescent="0.3">
      <c r="A106">
        <v>1105</v>
      </c>
      <c r="B106" t="s">
        <v>45</v>
      </c>
      <c r="C106" t="s">
        <v>62</v>
      </c>
      <c r="D106" t="s">
        <v>59</v>
      </c>
      <c r="E106" t="s">
        <v>33</v>
      </c>
      <c r="F106" t="s">
        <v>27</v>
      </c>
      <c r="G106">
        <v>4</v>
      </c>
      <c r="H106" t="s">
        <v>65</v>
      </c>
      <c r="I106">
        <v>65336</v>
      </c>
      <c r="J106">
        <v>4032</v>
      </c>
      <c r="K106">
        <v>1574</v>
      </c>
      <c r="L106">
        <v>5493</v>
      </c>
      <c r="M106">
        <v>2368</v>
      </c>
      <c r="N106">
        <v>6533</v>
      </c>
      <c r="O106">
        <f t="shared" si="3"/>
        <v>67534</v>
      </c>
      <c r="P106">
        <v>3</v>
      </c>
      <c r="Q106">
        <v>8</v>
      </c>
      <c r="R106">
        <v>13</v>
      </c>
      <c r="S106" t="s">
        <v>29</v>
      </c>
      <c r="T106" t="s">
        <v>197</v>
      </c>
      <c r="U106" t="str">
        <f t="shared" si="4"/>
        <v>medium</v>
      </c>
      <c r="V106" t="str">
        <f t="shared" si="5"/>
        <v>mid-level,</v>
      </c>
      <c r="W106">
        <f>Table1[[#This Row],[Base_Salary]]*12%</f>
        <v>7840.32</v>
      </c>
    </row>
    <row r="107" spans="1:23" x14ac:dyDescent="0.3">
      <c r="A107">
        <v>1106</v>
      </c>
      <c r="B107" t="s">
        <v>179</v>
      </c>
      <c r="C107" t="s">
        <v>37</v>
      </c>
      <c r="D107" t="s">
        <v>59</v>
      </c>
      <c r="E107" t="s">
        <v>47</v>
      </c>
      <c r="F107" t="s">
        <v>27</v>
      </c>
      <c r="G107">
        <v>7</v>
      </c>
      <c r="H107" t="s">
        <v>34</v>
      </c>
      <c r="I107">
        <v>78564</v>
      </c>
      <c r="J107">
        <v>5901</v>
      </c>
      <c r="K107">
        <v>3468</v>
      </c>
      <c r="L107">
        <v>3792</v>
      </c>
      <c r="M107">
        <v>2822</v>
      </c>
      <c r="N107">
        <v>7856</v>
      </c>
      <c r="O107">
        <f t="shared" si="3"/>
        <v>81047</v>
      </c>
      <c r="P107">
        <v>5</v>
      </c>
      <c r="Q107">
        <v>8</v>
      </c>
      <c r="R107">
        <v>8</v>
      </c>
      <c r="S107" t="s">
        <v>39</v>
      </c>
      <c r="T107" t="s">
        <v>198</v>
      </c>
      <c r="U107" t="str">
        <f t="shared" si="4"/>
        <v>high</v>
      </c>
      <c r="V107" t="str">
        <f t="shared" si="5"/>
        <v>senior</v>
      </c>
      <c r="W107">
        <f>Table1[[#This Row],[Base_Salary]]*12%</f>
        <v>9427.68</v>
      </c>
    </row>
    <row r="108" spans="1:23" x14ac:dyDescent="0.3">
      <c r="A108">
        <v>1107</v>
      </c>
      <c r="B108" t="s">
        <v>58</v>
      </c>
      <c r="C108" t="s">
        <v>42</v>
      </c>
      <c r="D108" t="s">
        <v>32</v>
      </c>
      <c r="E108" t="s">
        <v>26</v>
      </c>
      <c r="F108" t="s">
        <v>27</v>
      </c>
      <c r="G108">
        <v>10</v>
      </c>
      <c r="H108" t="s">
        <v>28</v>
      </c>
      <c r="I108">
        <v>34468</v>
      </c>
      <c r="J108">
        <v>9017</v>
      </c>
      <c r="K108">
        <v>1896</v>
      </c>
      <c r="L108">
        <v>4253</v>
      </c>
      <c r="M108">
        <v>1676</v>
      </c>
      <c r="N108">
        <v>3446</v>
      </c>
      <c r="O108">
        <f t="shared" si="3"/>
        <v>44512</v>
      </c>
      <c r="P108">
        <v>4</v>
      </c>
      <c r="Q108">
        <v>8</v>
      </c>
      <c r="R108">
        <v>13</v>
      </c>
      <c r="S108" t="s">
        <v>39</v>
      </c>
      <c r="T108" t="s">
        <v>199</v>
      </c>
      <c r="U108" t="str">
        <f t="shared" si="4"/>
        <v>medium</v>
      </c>
      <c r="V108" t="str">
        <f t="shared" si="5"/>
        <v>senior</v>
      </c>
      <c r="W108">
        <f>Table1[[#This Row],[Base_Salary]]*12%</f>
        <v>4136.16</v>
      </c>
    </row>
    <row r="109" spans="1:23" x14ac:dyDescent="0.3">
      <c r="A109">
        <v>1108</v>
      </c>
      <c r="B109" t="s">
        <v>110</v>
      </c>
      <c r="C109" t="s">
        <v>51</v>
      </c>
      <c r="D109" t="s">
        <v>25</v>
      </c>
      <c r="E109" t="s">
        <v>86</v>
      </c>
      <c r="F109" t="s">
        <v>43</v>
      </c>
      <c r="G109">
        <v>9</v>
      </c>
      <c r="H109" t="s">
        <v>28</v>
      </c>
      <c r="I109">
        <v>47189</v>
      </c>
      <c r="J109">
        <v>6287</v>
      </c>
      <c r="K109">
        <v>2769</v>
      </c>
      <c r="L109">
        <v>5360</v>
      </c>
      <c r="M109">
        <v>3902</v>
      </c>
      <c r="N109">
        <v>4718</v>
      </c>
      <c r="O109">
        <f t="shared" si="3"/>
        <v>52985</v>
      </c>
      <c r="P109">
        <v>3</v>
      </c>
      <c r="Q109">
        <v>6</v>
      </c>
      <c r="R109">
        <v>9</v>
      </c>
      <c r="S109" t="s">
        <v>29</v>
      </c>
      <c r="T109" t="s">
        <v>200</v>
      </c>
      <c r="U109" t="str">
        <f t="shared" si="4"/>
        <v>medium</v>
      </c>
      <c r="V109" t="str">
        <f t="shared" si="5"/>
        <v>senior</v>
      </c>
      <c r="W109">
        <f>Table1[[#This Row],[Base_Salary]]*12%</f>
        <v>5662.6799999999994</v>
      </c>
    </row>
    <row r="110" spans="1:23" x14ac:dyDescent="0.3">
      <c r="A110">
        <v>1109</v>
      </c>
      <c r="B110" t="s">
        <v>141</v>
      </c>
      <c r="C110" t="s">
        <v>24</v>
      </c>
      <c r="D110" t="s">
        <v>59</v>
      </c>
      <c r="E110" t="s">
        <v>86</v>
      </c>
      <c r="F110" t="s">
        <v>43</v>
      </c>
      <c r="G110">
        <v>1</v>
      </c>
      <c r="H110" t="s">
        <v>48</v>
      </c>
      <c r="I110">
        <v>50105</v>
      </c>
      <c r="J110">
        <v>3024</v>
      </c>
      <c r="K110">
        <v>2908</v>
      </c>
      <c r="L110">
        <v>4782</v>
      </c>
      <c r="M110">
        <v>1072</v>
      </c>
      <c r="N110">
        <v>5010</v>
      </c>
      <c r="O110">
        <f t="shared" si="3"/>
        <v>54737</v>
      </c>
      <c r="P110">
        <v>5</v>
      </c>
      <c r="Q110">
        <v>5</v>
      </c>
      <c r="R110">
        <v>11</v>
      </c>
      <c r="S110" t="s">
        <v>29</v>
      </c>
      <c r="T110" t="s">
        <v>201</v>
      </c>
      <c r="U110" t="str">
        <f t="shared" si="4"/>
        <v>medium</v>
      </c>
      <c r="V110" t="str">
        <f t="shared" si="5"/>
        <v>junior</v>
      </c>
      <c r="W110">
        <f>Table1[[#This Row],[Base_Salary]]*12%</f>
        <v>6012.5999999999995</v>
      </c>
    </row>
    <row r="111" spans="1:23" x14ac:dyDescent="0.3">
      <c r="A111">
        <v>1110</v>
      </c>
      <c r="B111" t="s">
        <v>112</v>
      </c>
      <c r="C111" t="s">
        <v>46</v>
      </c>
      <c r="D111" t="s">
        <v>59</v>
      </c>
      <c r="E111" t="s">
        <v>47</v>
      </c>
      <c r="F111" t="s">
        <v>27</v>
      </c>
      <c r="G111">
        <v>9</v>
      </c>
      <c r="H111" t="s">
        <v>53</v>
      </c>
      <c r="I111">
        <v>88093</v>
      </c>
      <c r="J111">
        <v>4977</v>
      </c>
      <c r="K111">
        <v>3084</v>
      </c>
      <c r="L111">
        <v>5786</v>
      </c>
      <c r="M111">
        <v>1571</v>
      </c>
      <c r="N111">
        <v>8809</v>
      </c>
      <c r="O111">
        <f t="shared" si="3"/>
        <v>91560</v>
      </c>
      <c r="P111">
        <v>5</v>
      </c>
      <c r="Q111">
        <v>10</v>
      </c>
      <c r="R111">
        <v>4</v>
      </c>
      <c r="S111" t="s">
        <v>39</v>
      </c>
      <c r="T111" t="s">
        <v>202</v>
      </c>
      <c r="U111" t="str">
        <f t="shared" si="4"/>
        <v>high</v>
      </c>
      <c r="V111" t="str">
        <f t="shared" si="5"/>
        <v>senior</v>
      </c>
      <c r="W111">
        <f>Table1[[#This Row],[Base_Salary]]*12%</f>
        <v>10571.16</v>
      </c>
    </row>
    <row r="112" spans="1:23" x14ac:dyDescent="0.3">
      <c r="A112">
        <v>1111</v>
      </c>
      <c r="B112" t="s">
        <v>120</v>
      </c>
      <c r="C112" t="s">
        <v>46</v>
      </c>
      <c r="D112" t="s">
        <v>59</v>
      </c>
      <c r="E112" t="s">
        <v>47</v>
      </c>
      <c r="F112" t="s">
        <v>43</v>
      </c>
      <c r="G112">
        <v>3</v>
      </c>
      <c r="H112" t="s">
        <v>65</v>
      </c>
      <c r="I112">
        <v>51473</v>
      </c>
      <c r="J112">
        <v>3568</v>
      </c>
      <c r="K112">
        <v>1135</v>
      </c>
      <c r="L112">
        <v>1329</v>
      </c>
      <c r="M112">
        <v>4880</v>
      </c>
      <c r="N112">
        <v>5147</v>
      </c>
      <c r="O112">
        <f t="shared" si="3"/>
        <v>47478</v>
      </c>
      <c r="P112">
        <v>3</v>
      </c>
      <c r="Q112">
        <v>2</v>
      </c>
      <c r="R112">
        <v>6</v>
      </c>
      <c r="S112" t="s">
        <v>29</v>
      </c>
      <c r="T112" t="s">
        <v>203</v>
      </c>
      <c r="U112" t="str">
        <f t="shared" si="4"/>
        <v>medium</v>
      </c>
      <c r="V112" t="str">
        <f t="shared" si="5"/>
        <v>mid-level,</v>
      </c>
      <c r="W112">
        <f>Table1[[#This Row],[Base_Salary]]*12%</f>
        <v>6176.76</v>
      </c>
    </row>
    <row r="113" spans="1:23" x14ac:dyDescent="0.3">
      <c r="A113">
        <v>1112</v>
      </c>
      <c r="B113" t="s">
        <v>174</v>
      </c>
      <c r="C113" t="s">
        <v>24</v>
      </c>
      <c r="D113" t="s">
        <v>32</v>
      </c>
      <c r="E113" t="s">
        <v>86</v>
      </c>
      <c r="F113" t="s">
        <v>43</v>
      </c>
      <c r="G113">
        <v>7</v>
      </c>
      <c r="H113" t="s">
        <v>65</v>
      </c>
      <c r="I113">
        <v>75362</v>
      </c>
      <c r="J113">
        <v>7346</v>
      </c>
      <c r="K113">
        <v>3559</v>
      </c>
      <c r="L113">
        <v>1699</v>
      </c>
      <c r="M113">
        <v>2924</v>
      </c>
      <c r="N113">
        <v>7536</v>
      </c>
      <c r="O113">
        <f t="shared" si="3"/>
        <v>77506</v>
      </c>
      <c r="P113">
        <v>2</v>
      </c>
      <c r="Q113">
        <v>1</v>
      </c>
      <c r="R113">
        <v>7</v>
      </c>
      <c r="S113" t="s">
        <v>29</v>
      </c>
      <c r="T113" t="s">
        <v>204</v>
      </c>
      <c r="U113" t="str">
        <f t="shared" si="4"/>
        <v>high</v>
      </c>
      <c r="V113" t="str">
        <f t="shared" si="5"/>
        <v>senior</v>
      </c>
      <c r="W113">
        <f>Table1[[#This Row],[Base_Salary]]*12%</f>
        <v>9043.44</v>
      </c>
    </row>
    <row r="114" spans="1:23" x14ac:dyDescent="0.3">
      <c r="A114">
        <v>1113</v>
      </c>
      <c r="B114" t="s">
        <v>80</v>
      </c>
      <c r="C114" t="s">
        <v>24</v>
      </c>
      <c r="D114" t="s">
        <v>25</v>
      </c>
      <c r="E114" t="s">
        <v>33</v>
      </c>
      <c r="F114" t="s">
        <v>43</v>
      </c>
      <c r="G114">
        <v>3</v>
      </c>
      <c r="H114" t="s">
        <v>48</v>
      </c>
      <c r="I114">
        <v>50318</v>
      </c>
      <c r="J114">
        <v>9076</v>
      </c>
      <c r="K114">
        <v>2880</v>
      </c>
      <c r="L114">
        <v>3906</v>
      </c>
      <c r="M114">
        <v>4989</v>
      </c>
      <c r="N114">
        <v>5031</v>
      </c>
      <c r="O114">
        <f t="shared" si="3"/>
        <v>56160</v>
      </c>
      <c r="P114">
        <v>5</v>
      </c>
      <c r="Q114">
        <v>8</v>
      </c>
      <c r="R114">
        <v>14</v>
      </c>
      <c r="S114" t="s">
        <v>29</v>
      </c>
      <c r="T114" t="s">
        <v>205</v>
      </c>
      <c r="U114" t="str">
        <f t="shared" si="4"/>
        <v>medium</v>
      </c>
      <c r="V114" t="str">
        <f t="shared" si="5"/>
        <v>mid-level,</v>
      </c>
      <c r="W114">
        <f>Table1[[#This Row],[Base_Salary]]*12%</f>
        <v>6038.16</v>
      </c>
    </row>
    <row r="115" spans="1:23" x14ac:dyDescent="0.3">
      <c r="A115">
        <v>1114</v>
      </c>
      <c r="B115" t="s">
        <v>41</v>
      </c>
      <c r="C115" t="s">
        <v>62</v>
      </c>
      <c r="D115" t="s">
        <v>32</v>
      </c>
      <c r="E115" t="s">
        <v>33</v>
      </c>
      <c r="F115" t="s">
        <v>27</v>
      </c>
      <c r="G115">
        <v>5</v>
      </c>
      <c r="H115" t="s">
        <v>48</v>
      </c>
      <c r="I115">
        <v>30783</v>
      </c>
      <c r="J115">
        <v>5736</v>
      </c>
      <c r="K115">
        <v>1989</v>
      </c>
      <c r="L115">
        <v>3270</v>
      </c>
      <c r="M115">
        <v>4806</v>
      </c>
      <c r="N115">
        <v>3078</v>
      </c>
      <c r="O115">
        <f t="shared" si="3"/>
        <v>33894</v>
      </c>
      <c r="P115">
        <v>5</v>
      </c>
      <c r="Q115">
        <v>1</v>
      </c>
      <c r="R115">
        <v>5</v>
      </c>
      <c r="S115" t="s">
        <v>29</v>
      </c>
      <c r="T115" t="s">
        <v>206</v>
      </c>
      <c r="U115" t="str">
        <f t="shared" si="4"/>
        <v>low</v>
      </c>
      <c r="V115" t="str">
        <f t="shared" si="5"/>
        <v>mid-level,</v>
      </c>
      <c r="W115">
        <f>Table1[[#This Row],[Base_Salary]]*12%</f>
        <v>3693.96</v>
      </c>
    </row>
    <row r="116" spans="1:23" x14ac:dyDescent="0.3">
      <c r="A116">
        <v>1115</v>
      </c>
      <c r="B116" t="s">
        <v>92</v>
      </c>
      <c r="C116" t="s">
        <v>24</v>
      </c>
      <c r="D116" t="s">
        <v>59</v>
      </c>
      <c r="E116" t="s">
        <v>26</v>
      </c>
      <c r="F116" t="s">
        <v>43</v>
      </c>
      <c r="G116">
        <v>8</v>
      </c>
      <c r="H116" t="s">
        <v>65</v>
      </c>
      <c r="I116">
        <v>66754</v>
      </c>
      <c r="J116">
        <v>9747</v>
      </c>
      <c r="K116">
        <v>785</v>
      </c>
      <c r="L116">
        <v>2053</v>
      </c>
      <c r="M116">
        <v>3312</v>
      </c>
      <c r="N116">
        <v>6675</v>
      </c>
      <c r="O116">
        <f t="shared" si="3"/>
        <v>69352</v>
      </c>
      <c r="P116">
        <v>5</v>
      </c>
      <c r="Q116">
        <v>2</v>
      </c>
      <c r="R116">
        <v>9</v>
      </c>
      <c r="S116" t="s">
        <v>39</v>
      </c>
      <c r="T116" t="s">
        <v>207</v>
      </c>
      <c r="U116" t="str">
        <f t="shared" si="4"/>
        <v>medium</v>
      </c>
      <c r="V116" t="str">
        <f t="shared" si="5"/>
        <v>senior</v>
      </c>
      <c r="W116">
        <f>Table1[[#This Row],[Base_Salary]]*12%</f>
        <v>8010.48</v>
      </c>
    </row>
    <row r="117" spans="1:23" x14ac:dyDescent="0.3">
      <c r="A117">
        <v>1116</v>
      </c>
      <c r="B117" t="s">
        <v>104</v>
      </c>
      <c r="C117" t="s">
        <v>42</v>
      </c>
      <c r="D117" t="s">
        <v>70</v>
      </c>
      <c r="E117" t="s">
        <v>75</v>
      </c>
      <c r="F117" t="s">
        <v>27</v>
      </c>
      <c r="G117">
        <v>3</v>
      </c>
      <c r="H117" t="s">
        <v>28</v>
      </c>
      <c r="I117">
        <v>55788</v>
      </c>
      <c r="J117">
        <v>2170</v>
      </c>
      <c r="K117">
        <v>2599</v>
      </c>
      <c r="L117">
        <v>1845</v>
      </c>
      <c r="M117">
        <v>3071</v>
      </c>
      <c r="N117">
        <v>5578</v>
      </c>
      <c r="O117">
        <f t="shared" si="3"/>
        <v>53753</v>
      </c>
      <c r="P117">
        <v>4</v>
      </c>
      <c r="Q117">
        <v>2</v>
      </c>
      <c r="R117">
        <v>2</v>
      </c>
      <c r="S117" t="s">
        <v>39</v>
      </c>
      <c r="T117" t="s">
        <v>208</v>
      </c>
      <c r="U117" t="str">
        <f t="shared" si="4"/>
        <v>medium</v>
      </c>
      <c r="V117" t="str">
        <f t="shared" si="5"/>
        <v>mid-level,</v>
      </c>
      <c r="W117">
        <f>Table1[[#This Row],[Base_Salary]]*12%</f>
        <v>6694.5599999999995</v>
      </c>
    </row>
    <row r="118" spans="1:23" x14ac:dyDescent="0.3">
      <c r="A118">
        <v>1117</v>
      </c>
      <c r="B118" t="s">
        <v>148</v>
      </c>
      <c r="C118" t="s">
        <v>37</v>
      </c>
      <c r="D118" t="s">
        <v>32</v>
      </c>
      <c r="E118" t="s">
        <v>26</v>
      </c>
      <c r="F118" t="s">
        <v>27</v>
      </c>
      <c r="G118">
        <v>1</v>
      </c>
      <c r="H118" t="s">
        <v>65</v>
      </c>
      <c r="I118">
        <v>85388</v>
      </c>
      <c r="J118">
        <v>9918</v>
      </c>
      <c r="K118">
        <v>1528</v>
      </c>
      <c r="L118">
        <v>4715</v>
      </c>
      <c r="M118">
        <v>4525</v>
      </c>
      <c r="N118">
        <v>8538</v>
      </c>
      <c r="O118">
        <f t="shared" si="3"/>
        <v>88486</v>
      </c>
      <c r="P118">
        <v>5</v>
      </c>
      <c r="Q118">
        <v>8</v>
      </c>
      <c r="R118">
        <v>4</v>
      </c>
      <c r="S118" t="s">
        <v>29</v>
      </c>
      <c r="T118" t="s">
        <v>209</v>
      </c>
      <c r="U118" t="str">
        <f t="shared" si="4"/>
        <v>high</v>
      </c>
      <c r="V118" t="str">
        <f t="shared" si="5"/>
        <v>junior</v>
      </c>
      <c r="W118">
        <f>Table1[[#This Row],[Base_Salary]]*12%</f>
        <v>10246.56</v>
      </c>
    </row>
    <row r="119" spans="1:23" x14ac:dyDescent="0.3">
      <c r="A119">
        <v>1118</v>
      </c>
      <c r="B119" t="s">
        <v>116</v>
      </c>
      <c r="C119" t="s">
        <v>37</v>
      </c>
      <c r="D119" t="s">
        <v>38</v>
      </c>
      <c r="E119" t="s">
        <v>26</v>
      </c>
      <c r="F119" t="s">
        <v>27</v>
      </c>
      <c r="G119">
        <v>3</v>
      </c>
      <c r="H119" t="s">
        <v>34</v>
      </c>
      <c r="I119">
        <v>39294</v>
      </c>
      <c r="J119">
        <v>6580</v>
      </c>
      <c r="K119">
        <v>2712</v>
      </c>
      <c r="L119">
        <v>3433</v>
      </c>
      <c r="M119">
        <v>3660</v>
      </c>
      <c r="N119">
        <v>3929</v>
      </c>
      <c r="O119">
        <f t="shared" si="3"/>
        <v>44430</v>
      </c>
      <c r="P119">
        <v>2</v>
      </c>
      <c r="Q119">
        <v>9</v>
      </c>
      <c r="R119">
        <v>9</v>
      </c>
      <c r="S119" t="s">
        <v>29</v>
      </c>
      <c r="T119" t="s">
        <v>210</v>
      </c>
      <c r="U119" t="str">
        <f t="shared" si="4"/>
        <v>medium</v>
      </c>
      <c r="V119" t="str">
        <f t="shared" si="5"/>
        <v>mid-level,</v>
      </c>
      <c r="W119">
        <f>Table1[[#This Row],[Base_Salary]]*12%</f>
        <v>4715.28</v>
      </c>
    </row>
    <row r="120" spans="1:23" x14ac:dyDescent="0.3">
      <c r="A120">
        <v>1119</v>
      </c>
      <c r="B120" t="s">
        <v>211</v>
      </c>
      <c r="C120" t="s">
        <v>51</v>
      </c>
      <c r="D120" t="s">
        <v>38</v>
      </c>
      <c r="E120" t="s">
        <v>26</v>
      </c>
      <c r="F120" t="s">
        <v>43</v>
      </c>
      <c r="G120">
        <v>3</v>
      </c>
      <c r="H120" t="s">
        <v>65</v>
      </c>
      <c r="I120">
        <v>70544</v>
      </c>
      <c r="J120">
        <v>5743</v>
      </c>
      <c r="K120">
        <v>3280</v>
      </c>
      <c r="L120">
        <v>1881</v>
      </c>
      <c r="M120">
        <v>2280</v>
      </c>
      <c r="N120">
        <v>7054</v>
      </c>
      <c r="O120">
        <f t="shared" si="3"/>
        <v>72114</v>
      </c>
      <c r="P120">
        <v>4</v>
      </c>
      <c r="Q120">
        <v>1</v>
      </c>
      <c r="R120">
        <v>10</v>
      </c>
      <c r="S120" t="s">
        <v>39</v>
      </c>
      <c r="T120" t="s">
        <v>212</v>
      </c>
      <c r="U120" t="str">
        <f t="shared" si="4"/>
        <v>high</v>
      </c>
      <c r="V120" t="str">
        <f t="shared" si="5"/>
        <v>mid-level,</v>
      </c>
      <c r="W120">
        <f>Table1[[#This Row],[Base_Salary]]*12%</f>
        <v>8465.2799999999988</v>
      </c>
    </row>
    <row r="121" spans="1:23" x14ac:dyDescent="0.3">
      <c r="A121">
        <v>1120</v>
      </c>
      <c r="B121" t="s">
        <v>144</v>
      </c>
      <c r="C121" t="s">
        <v>46</v>
      </c>
      <c r="D121" t="s">
        <v>70</v>
      </c>
      <c r="E121" t="s">
        <v>86</v>
      </c>
      <c r="F121" t="s">
        <v>27</v>
      </c>
      <c r="G121">
        <v>10</v>
      </c>
      <c r="H121" t="s">
        <v>53</v>
      </c>
      <c r="I121">
        <v>57326</v>
      </c>
      <c r="J121">
        <v>4808</v>
      </c>
      <c r="K121">
        <v>3765</v>
      </c>
      <c r="L121">
        <v>4945</v>
      </c>
      <c r="M121">
        <v>1213</v>
      </c>
      <c r="N121">
        <v>5732</v>
      </c>
      <c r="O121">
        <f t="shared" si="3"/>
        <v>63899</v>
      </c>
      <c r="P121">
        <v>5</v>
      </c>
      <c r="Q121">
        <v>6</v>
      </c>
      <c r="R121">
        <v>8</v>
      </c>
      <c r="S121" t="s">
        <v>39</v>
      </c>
      <c r="T121" t="s">
        <v>213</v>
      </c>
      <c r="U121" t="str">
        <f t="shared" si="4"/>
        <v>medium</v>
      </c>
      <c r="V121" t="str">
        <f t="shared" si="5"/>
        <v>senior</v>
      </c>
      <c r="W121">
        <f>Table1[[#This Row],[Base_Salary]]*12%</f>
        <v>6879.12</v>
      </c>
    </row>
  </sheetData>
  <conditionalFormatting sqref="U1:U121">
    <cfRule type="colorScale" priority="6">
      <colorScale>
        <cfvo type="min"/>
        <cfvo type="percentile" val="50"/>
        <cfvo type="max"/>
        <color rgb="FFC00000"/>
        <color rgb="FFFFEB84"/>
        <color rgb="FF00B050"/>
      </colorScale>
    </cfRule>
    <cfRule type="colorScale" priority="21">
      <colorScale>
        <cfvo type="min"/>
        <cfvo type="percentile" val="50"/>
        <cfvo type="max"/>
        <color rgb="FFF8696B"/>
        <color rgb="FFFCFCFF"/>
        <color rgb="FF63BE7B"/>
      </colorScale>
    </cfRule>
    <cfRule type="colorScale" priority="22">
      <colorScale>
        <cfvo type="min"/>
        <cfvo type="max"/>
        <color rgb="FFF8696B"/>
        <color rgb="FFFCFCFF"/>
      </colorScale>
    </cfRule>
  </conditionalFormatting>
  <conditionalFormatting sqref="U1:U1048576">
    <cfRule type="colorScale" priority="1">
      <colorScale>
        <cfvo type="min"/>
        <cfvo type="percentile" val="50"/>
        <cfvo type="max"/>
        <color rgb="FFF8696B"/>
        <color rgb="FFFFEB84"/>
        <color rgb="FF63BE7B"/>
      </colorScale>
    </cfRule>
    <cfRule type="colorScale" priority="4">
      <colorScale>
        <cfvo type="percentile" val="10"/>
        <cfvo type="percentile" val="50"/>
        <cfvo type="percentile" val="90"/>
        <color rgb="FF5A8AC6"/>
        <color rgb="FFFCFCFF"/>
        <color rgb="FFF8696B"/>
      </colorScale>
    </cfRule>
  </conditionalFormatting>
  <conditionalFormatting sqref="U2:U121">
    <cfRule type="containsText" dxfId="12" priority="12" stopIfTrue="1" operator="containsText" text="medium">
      <formula>NOT(ISERROR(SEARCH("medium",U2)))</formula>
    </cfRule>
    <cfRule type="containsText" dxfId="11" priority="17" operator="containsText" text="medium">
      <formula>NOT(ISERROR(SEARCH("medium",U2)))</formula>
    </cfRule>
    <cfRule type="containsText" dxfId="10" priority="18" operator="containsText" text="low">
      <formula>NOT(ISERROR(SEARCH("low",U2)))</formula>
    </cfRule>
    <cfRule type="containsText" dxfId="9" priority="19" operator="containsText" text="high">
      <formula>NOT(ISERROR(SEARCH("high",U2)))</formula>
    </cfRule>
    <cfRule type="containsText" dxfId="8" priority="20" operator="containsText" text="medium">
      <formula>NOT(ISERROR(SEARCH("medium",U2)))</formula>
    </cfRule>
  </conditionalFormatting>
  <conditionalFormatting sqref="U3">
    <cfRule type="containsText" dxfId="7" priority="14" operator="containsText" text="medium">
      <formula>NOT(ISERROR(SEARCH("medium",U3)))</formula>
    </cfRule>
  </conditionalFormatting>
  <conditionalFormatting sqref="U12">
    <cfRule type="containsText" dxfId="6" priority="15" operator="containsText" text="medium">
      <formula>NOT(ISERROR(SEARCH("medium",U12)))</formula>
    </cfRule>
  </conditionalFormatting>
  <conditionalFormatting sqref="V2:V121">
    <cfRule type="containsText" dxfId="5" priority="7" operator="containsText" text="jun">
      <formula>NOT(ISERROR(SEARCH("jun",V2)))</formula>
    </cfRule>
    <cfRule type="containsText" dxfId="4" priority="8" operator="containsText" text="senior">
      <formula>NOT(ISERROR(SEARCH("senior",V2)))</formula>
    </cfRule>
    <cfRule type="containsText" dxfId="3" priority="9" operator="containsText" text="mid-level">
      <formula>NOT(ISERROR(SEARCH("mid-level",V2)))</formula>
    </cfRule>
    <cfRule type="containsText" dxfId="2" priority="10" operator="containsText" text="junior">
      <formula>NOT(ISERROR(SEARCH("junior",V2)))</formula>
    </cfRule>
    <cfRule type="containsText" dxfId="1" priority="11" operator="containsText" text="senior">
      <formula>NOT(ISERROR(SEARCH("senior",V2)))</formula>
    </cfRule>
  </conditionalFormatting>
  <conditionalFormatting sqref="W13">
    <cfRule type="containsText" dxfId="0" priority="13" operator="containsText" text="medium">
      <formula>NOT(ISERROR(SEARCH("medium",W13)))</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83AB3-8F67-427C-8477-AA96A1C011BC}">
  <dimension ref="A1:E16"/>
  <sheetViews>
    <sheetView zoomScale="88" zoomScaleNormal="102" workbookViewId="0">
      <selection activeCell="J12" sqref="J12"/>
    </sheetView>
  </sheetViews>
  <sheetFormatPr defaultRowHeight="14.4" x14ac:dyDescent="0.3"/>
  <cols>
    <col min="1" max="1" width="12.44140625" bestFit="1" customWidth="1"/>
    <col min="2" max="2" width="12.6640625" bestFit="1" customWidth="1"/>
    <col min="3" max="3" width="27" bestFit="1" customWidth="1"/>
    <col min="4" max="5" width="22.109375" bestFit="1" customWidth="1"/>
  </cols>
  <sheetData>
    <row r="1" spans="1:5" ht="18" x14ac:dyDescent="0.35">
      <c r="A1" s="23" t="s">
        <v>227</v>
      </c>
      <c r="B1" s="23"/>
      <c r="C1" s="23"/>
    </row>
    <row r="4" spans="1:5" x14ac:dyDescent="0.3">
      <c r="B4" s="4" t="s">
        <v>224</v>
      </c>
      <c r="C4" t="s">
        <v>228</v>
      </c>
      <c r="D4" t="s">
        <v>229</v>
      </c>
      <c r="E4" s="8" t="s">
        <v>230</v>
      </c>
    </row>
    <row r="5" spans="1:5" x14ac:dyDescent="0.3">
      <c r="B5" s="5" t="s">
        <v>51</v>
      </c>
      <c r="C5" s="28">
        <v>3.7142857142857144</v>
      </c>
      <c r="D5" s="28">
        <v>74</v>
      </c>
      <c r="E5" t="str">
        <f>IF(GETPIVOTDATA("Average of Performance_Rating",$B$4,"Department","Finance")&gt;=4,"Eligible","not Eligible")</f>
        <v>not Eligible</v>
      </c>
    </row>
    <row r="6" spans="1:5" x14ac:dyDescent="0.3">
      <c r="B6" s="5" t="s">
        <v>42</v>
      </c>
      <c r="C6" s="28">
        <v>3.6</v>
      </c>
      <c r="D6" s="28">
        <v>79</v>
      </c>
      <c r="E6" t="str">
        <f t="shared" ref="E6:E9" si="0">IF(GETPIVOTDATA("Average of Performance_Rating",$B$4,"Department","Finance")&gt;=4,"Eligible","not Eligible")</f>
        <v>not Eligible</v>
      </c>
    </row>
    <row r="7" spans="1:5" x14ac:dyDescent="0.3">
      <c r="B7" s="5" t="s">
        <v>37</v>
      </c>
      <c r="C7" s="28">
        <v>3.375</v>
      </c>
      <c r="D7" s="28">
        <v>143</v>
      </c>
      <c r="E7" t="str">
        <f t="shared" si="0"/>
        <v>not Eligible</v>
      </c>
    </row>
    <row r="8" spans="1:5" x14ac:dyDescent="0.3">
      <c r="B8" s="5" t="s">
        <v>62</v>
      </c>
      <c r="C8" s="28">
        <v>3.6190476190476191</v>
      </c>
      <c r="D8" s="28">
        <v>125</v>
      </c>
      <c r="E8" t="str">
        <f t="shared" si="0"/>
        <v>not Eligible</v>
      </c>
    </row>
    <row r="9" spans="1:5" x14ac:dyDescent="0.3">
      <c r="B9" s="5" t="s">
        <v>24</v>
      </c>
      <c r="C9" s="28">
        <v>3.5185185185185186</v>
      </c>
      <c r="D9" s="28">
        <v>143</v>
      </c>
      <c r="E9" t="str">
        <f t="shared" si="0"/>
        <v>not Eligible</v>
      </c>
    </row>
    <row r="10" spans="1:5" x14ac:dyDescent="0.3">
      <c r="B10" s="5" t="s">
        <v>46</v>
      </c>
      <c r="C10" s="28">
        <v>3.4210526315789473</v>
      </c>
      <c r="D10" s="28">
        <v>110</v>
      </c>
      <c r="E10" t="str">
        <f>IF(GETPIVOTDATA("Average of Performance_Rating",$B$4,"Department","Finance")&gt;=2,"Eligible","not Eligible")</f>
        <v>Eligible</v>
      </c>
    </row>
    <row r="11" spans="1:5" x14ac:dyDescent="0.3">
      <c r="B11" s="5" t="s">
        <v>225</v>
      </c>
      <c r="C11" s="28">
        <v>3.5249999999999999</v>
      </c>
      <c r="D11" s="28">
        <v>674</v>
      </c>
    </row>
    <row r="15" spans="1:5" ht="18" x14ac:dyDescent="0.35">
      <c r="A15" s="21" t="s">
        <v>231</v>
      </c>
      <c r="B15" s="21"/>
      <c r="C15" s="21"/>
    </row>
    <row r="16" spans="1:5" x14ac:dyDescent="0.3">
      <c r="E16" s="1"/>
    </row>
  </sheetData>
  <mergeCells count="2">
    <mergeCell ref="A1:C1"/>
    <mergeCell ref="A15:C15"/>
  </mergeCells>
  <conditionalFormatting sqref="P11">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C6A4-1779-4129-B460-AD105FA2A4F0}">
  <dimension ref="A1:D8"/>
  <sheetViews>
    <sheetView workbookViewId="0">
      <selection activeCell="G20" sqref="G20"/>
    </sheetView>
  </sheetViews>
  <sheetFormatPr defaultRowHeight="14.4" x14ac:dyDescent="0.3"/>
  <cols>
    <col min="1" max="2" width="12.44140625" bestFit="1" customWidth="1"/>
    <col min="3" max="3" width="19" bestFit="1" customWidth="1"/>
    <col min="4" max="4" width="14.5546875" bestFit="1" customWidth="1"/>
  </cols>
  <sheetData>
    <row r="1" spans="1:4" ht="18" x14ac:dyDescent="0.35">
      <c r="A1" s="21" t="s">
        <v>232</v>
      </c>
      <c r="B1" s="21"/>
    </row>
    <row r="4" spans="1:4" x14ac:dyDescent="0.3">
      <c r="B4" s="4" t="s">
        <v>224</v>
      </c>
      <c r="C4" t="s">
        <v>233</v>
      </c>
      <c r="D4" t="s">
        <v>215</v>
      </c>
    </row>
    <row r="5" spans="1:4" x14ac:dyDescent="0.3">
      <c r="B5" s="5" t="s">
        <v>234</v>
      </c>
      <c r="C5" s="28">
        <v>62370.05</v>
      </c>
      <c r="D5" s="28">
        <v>20</v>
      </c>
    </row>
    <row r="6" spans="1:4" x14ac:dyDescent="0.3">
      <c r="B6" s="5" t="s">
        <v>235</v>
      </c>
      <c r="C6" s="28">
        <v>62725.431372549021</v>
      </c>
      <c r="D6" s="28">
        <v>51</v>
      </c>
    </row>
    <row r="7" spans="1:4" x14ac:dyDescent="0.3">
      <c r="B7" s="5" t="s">
        <v>236</v>
      </c>
      <c r="C7" s="28">
        <v>61622</v>
      </c>
      <c r="D7" s="28">
        <v>49</v>
      </c>
    </row>
    <row r="8" spans="1:4" x14ac:dyDescent="0.3">
      <c r="B8" s="5" t="s">
        <v>225</v>
      </c>
      <c r="C8" s="28">
        <v>62215.633333333331</v>
      </c>
      <c r="D8" s="28">
        <v>120</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7850-3F0E-4BA9-8605-42EE55E15598}">
  <dimension ref="A1:I44"/>
  <sheetViews>
    <sheetView tabSelected="1" zoomScale="87" zoomScaleNormal="55" workbookViewId="0">
      <selection activeCell="X9" sqref="X9"/>
    </sheetView>
  </sheetViews>
  <sheetFormatPr defaultRowHeight="14.4" x14ac:dyDescent="0.3"/>
  <cols>
    <col min="1" max="1" width="20.5546875" customWidth="1"/>
    <col min="2" max="2" width="18.44140625" bestFit="1" customWidth="1"/>
    <col min="3" max="3" width="22.77734375" bestFit="1" customWidth="1"/>
    <col min="4" max="4" width="20.33203125" bestFit="1" customWidth="1"/>
    <col min="5" max="5" width="12" bestFit="1" customWidth="1"/>
    <col min="6" max="6" width="18.6640625" bestFit="1" customWidth="1"/>
    <col min="7" max="7" width="16.109375" bestFit="1" customWidth="1"/>
    <col min="8" max="8" width="14.5546875" bestFit="1" customWidth="1"/>
    <col min="9" max="9" width="16.109375" bestFit="1" customWidth="1"/>
    <col min="10" max="10" width="16.5546875" bestFit="1" customWidth="1"/>
    <col min="11" max="11" width="6" bestFit="1" customWidth="1"/>
    <col min="12" max="12" width="7.109375" bestFit="1" customWidth="1"/>
    <col min="13" max="19" width="6" bestFit="1" customWidth="1"/>
    <col min="20" max="20" width="6.6640625" bestFit="1" customWidth="1"/>
    <col min="21" max="126" width="6" bestFit="1" customWidth="1"/>
    <col min="127" max="127" width="10.5546875" bestFit="1" customWidth="1"/>
  </cols>
  <sheetData>
    <row r="1" spans="1:9" ht="21" x14ac:dyDescent="0.4">
      <c r="A1" s="19" t="s">
        <v>214</v>
      </c>
      <c r="B1" s="20"/>
      <c r="C1" s="20"/>
    </row>
    <row r="4" spans="1:9" x14ac:dyDescent="0.3">
      <c r="B4" t="s">
        <v>215</v>
      </c>
      <c r="C4" t="s">
        <v>216</v>
      </c>
      <c r="D4" t="s">
        <v>217</v>
      </c>
      <c r="E4" t="s">
        <v>218</v>
      </c>
      <c r="F4" t="s">
        <v>219</v>
      </c>
      <c r="G4" t="s">
        <v>220</v>
      </c>
      <c r="H4" t="s">
        <v>221</v>
      </c>
      <c r="I4" t="s">
        <v>222</v>
      </c>
    </row>
    <row r="5" spans="1:9" x14ac:dyDescent="0.3">
      <c r="B5">
        <v>120</v>
      </c>
      <c r="C5" s="3">
        <v>7127487</v>
      </c>
      <c r="D5" s="3">
        <v>712358</v>
      </c>
      <c r="E5" s="3">
        <v>271161</v>
      </c>
      <c r="F5" s="3">
        <v>428538</v>
      </c>
      <c r="G5" s="6">
        <v>712697</v>
      </c>
      <c r="H5" s="7">
        <v>7465876</v>
      </c>
      <c r="I5" s="3">
        <v>360971</v>
      </c>
    </row>
    <row r="14" spans="1:9" ht="18" x14ac:dyDescent="0.35">
      <c r="A14" s="21" t="s">
        <v>223</v>
      </c>
      <c r="B14" s="21"/>
    </row>
    <row r="16" spans="1:9" x14ac:dyDescent="0.3">
      <c r="B16" s="4" t="s">
        <v>224</v>
      </c>
      <c r="C16" t="s">
        <v>215</v>
      </c>
      <c r="D16" t="s">
        <v>221</v>
      </c>
    </row>
    <row r="17" spans="2:4" x14ac:dyDescent="0.3">
      <c r="B17" s="5" t="s">
        <v>51</v>
      </c>
      <c r="C17">
        <v>14</v>
      </c>
      <c r="D17">
        <v>789882</v>
      </c>
    </row>
    <row r="18" spans="2:4" x14ac:dyDescent="0.3">
      <c r="B18" s="5" t="s">
        <v>42</v>
      </c>
      <c r="C18">
        <v>15</v>
      </c>
      <c r="D18">
        <v>851332</v>
      </c>
    </row>
    <row r="19" spans="2:4" x14ac:dyDescent="0.3">
      <c r="B19" s="5" t="s">
        <v>37</v>
      </c>
      <c r="C19">
        <v>24</v>
      </c>
      <c r="D19">
        <v>1551563</v>
      </c>
    </row>
    <row r="20" spans="2:4" x14ac:dyDescent="0.3">
      <c r="B20" s="5" t="s">
        <v>62</v>
      </c>
      <c r="C20">
        <v>21</v>
      </c>
      <c r="D20">
        <v>1349430</v>
      </c>
    </row>
    <row r="21" spans="2:4" x14ac:dyDescent="0.3">
      <c r="B21" s="5" t="s">
        <v>24</v>
      </c>
      <c r="C21">
        <v>27</v>
      </c>
      <c r="D21">
        <v>1700115</v>
      </c>
    </row>
    <row r="22" spans="2:4" x14ac:dyDescent="0.3">
      <c r="B22" s="5" t="s">
        <v>46</v>
      </c>
      <c r="C22">
        <v>19</v>
      </c>
      <c r="D22">
        <v>1223554</v>
      </c>
    </row>
    <row r="23" spans="2:4" x14ac:dyDescent="0.3">
      <c r="B23" s="5" t="s">
        <v>225</v>
      </c>
      <c r="C23">
        <v>120</v>
      </c>
      <c r="D23">
        <v>7465876</v>
      </c>
    </row>
    <row r="34" spans="1:4" ht="18" x14ac:dyDescent="0.35">
      <c r="A34" s="22" t="s">
        <v>226</v>
      </c>
      <c r="B34" s="22"/>
    </row>
    <row r="37" spans="1:4" x14ac:dyDescent="0.3">
      <c r="B37" s="4" t="s">
        <v>224</v>
      </c>
      <c r="C37" t="s">
        <v>221</v>
      </c>
      <c r="D37" t="s">
        <v>215</v>
      </c>
    </row>
    <row r="38" spans="1:4" x14ac:dyDescent="0.3">
      <c r="B38" s="5" t="s">
        <v>51</v>
      </c>
      <c r="C38">
        <v>789882</v>
      </c>
      <c r="D38">
        <v>14</v>
      </c>
    </row>
    <row r="39" spans="1:4" x14ac:dyDescent="0.3">
      <c r="B39" s="5" t="s">
        <v>42</v>
      </c>
      <c r="C39">
        <v>851332</v>
      </c>
      <c r="D39">
        <v>15</v>
      </c>
    </row>
    <row r="40" spans="1:4" x14ac:dyDescent="0.3">
      <c r="B40" s="5" t="s">
        <v>37</v>
      </c>
      <c r="C40">
        <v>1551563</v>
      </c>
      <c r="D40">
        <v>24</v>
      </c>
    </row>
    <row r="41" spans="1:4" x14ac:dyDescent="0.3">
      <c r="B41" s="5" t="s">
        <v>62</v>
      </c>
      <c r="C41">
        <v>1349430</v>
      </c>
      <c r="D41">
        <v>21</v>
      </c>
    </row>
    <row r="42" spans="1:4" x14ac:dyDescent="0.3">
      <c r="B42" s="5" t="s">
        <v>24</v>
      </c>
      <c r="C42">
        <v>1700115</v>
      </c>
      <c r="D42">
        <v>27</v>
      </c>
    </row>
    <row r="43" spans="1:4" x14ac:dyDescent="0.3">
      <c r="B43" s="5" t="s">
        <v>46</v>
      </c>
      <c r="C43">
        <v>1223554</v>
      </c>
      <c r="D43">
        <v>19</v>
      </c>
    </row>
    <row r="44" spans="1:4" x14ac:dyDescent="0.3">
      <c r="B44" s="5" t="s">
        <v>225</v>
      </c>
      <c r="C44">
        <v>7465876</v>
      </c>
      <c r="D44">
        <v>120</v>
      </c>
    </row>
  </sheetData>
  <mergeCells count="3">
    <mergeCell ref="A1:C1"/>
    <mergeCell ref="A14:B14"/>
    <mergeCell ref="A34:B34"/>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E912E-B7BE-4413-8C36-198E7E0D269F}">
  <dimension ref="A1:T53"/>
  <sheetViews>
    <sheetView zoomScale="64" zoomScaleNormal="60" workbookViewId="0">
      <selection activeCell="V39" sqref="V39"/>
    </sheetView>
  </sheetViews>
  <sheetFormatPr defaultRowHeight="14.4" x14ac:dyDescent="0.3"/>
  <cols>
    <col min="2" max="2" width="19.21875" bestFit="1" customWidth="1"/>
    <col min="3" max="3" width="21.6640625" bestFit="1" customWidth="1"/>
    <col min="4" max="4" width="13" bestFit="1" customWidth="1"/>
    <col min="5" max="5" width="16.5546875" bestFit="1" customWidth="1"/>
    <col min="6" max="6" width="14.5546875" bestFit="1" customWidth="1"/>
    <col min="19" max="19" width="23.109375" bestFit="1" customWidth="1"/>
  </cols>
  <sheetData>
    <row r="1" spans="1:4" ht="18" x14ac:dyDescent="0.35">
      <c r="A1" s="23" t="s">
        <v>237</v>
      </c>
      <c r="B1" s="23"/>
      <c r="C1" s="23"/>
      <c r="D1" s="23"/>
    </row>
    <row r="5" spans="1:4" ht="18" x14ac:dyDescent="0.35">
      <c r="B5" s="24" t="s">
        <v>238</v>
      </c>
      <c r="C5" s="24"/>
    </row>
    <row r="8" spans="1:4" x14ac:dyDescent="0.3">
      <c r="B8" s="4" t="s">
        <v>224</v>
      </c>
      <c r="C8" t="s">
        <v>215</v>
      </c>
    </row>
    <row r="9" spans="1:4" x14ac:dyDescent="0.3">
      <c r="B9" s="5" t="s">
        <v>51</v>
      </c>
      <c r="C9">
        <v>14</v>
      </c>
    </row>
    <row r="10" spans="1:4" x14ac:dyDescent="0.3">
      <c r="B10" s="5" t="s">
        <v>42</v>
      </c>
      <c r="C10">
        <v>15</v>
      </c>
    </row>
    <row r="11" spans="1:4" x14ac:dyDescent="0.3">
      <c r="B11" s="5" t="s">
        <v>37</v>
      </c>
      <c r="C11">
        <v>24</v>
      </c>
    </row>
    <row r="12" spans="1:4" x14ac:dyDescent="0.3">
      <c r="B12" s="5" t="s">
        <v>62</v>
      </c>
      <c r="C12">
        <v>21</v>
      </c>
    </row>
    <row r="13" spans="1:4" x14ac:dyDescent="0.3">
      <c r="B13" s="5" t="s">
        <v>24</v>
      </c>
      <c r="C13">
        <v>27</v>
      </c>
    </row>
    <row r="14" spans="1:4" x14ac:dyDescent="0.3">
      <c r="B14" s="5" t="s">
        <v>46</v>
      </c>
      <c r="C14">
        <v>19</v>
      </c>
    </row>
    <row r="15" spans="1:4" x14ac:dyDescent="0.3">
      <c r="B15" s="5" t="s">
        <v>225</v>
      </c>
      <c r="C15">
        <v>120</v>
      </c>
    </row>
    <row r="23" spans="2:3" ht="18" x14ac:dyDescent="0.35">
      <c r="B23" s="24" t="s">
        <v>239</v>
      </c>
      <c r="C23" s="24"/>
    </row>
    <row r="26" spans="2:3" x14ac:dyDescent="0.3">
      <c r="B26" s="4" t="s">
        <v>224</v>
      </c>
      <c r="C26" t="s">
        <v>221</v>
      </c>
    </row>
    <row r="27" spans="2:3" x14ac:dyDescent="0.3">
      <c r="B27" s="5" t="s">
        <v>51</v>
      </c>
      <c r="C27">
        <v>789882</v>
      </c>
    </row>
    <row r="28" spans="2:3" x14ac:dyDescent="0.3">
      <c r="B28" s="5" t="s">
        <v>42</v>
      </c>
      <c r="C28">
        <v>851332</v>
      </c>
    </row>
    <row r="29" spans="2:3" x14ac:dyDescent="0.3">
      <c r="B29" s="5" t="s">
        <v>37</v>
      </c>
      <c r="C29">
        <v>1551563</v>
      </c>
    </row>
    <row r="30" spans="2:3" x14ac:dyDescent="0.3">
      <c r="B30" s="5" t="s">
        <v>62</v>
      </c>
      <c r="C30">
        <v>1349430</v>
      </c>
    </row>
    <row r="31" spans="2:3" x14ac:dyDescent="0.3">
      <c r="B31" s="5" t="s">
        <v>24</v>
      </c>
      <c r="C31">
        <v>1700115</v>
      </c>
    </row>
    <row r="32" spans="2:3" x14ac:dyDescent="0.3">
      <c r="B32" s="5" t="s">
        <v>46</v>
      </c>
      <c r="C32">
        <v>1223554</v>
      </c>
    </row>
    <row r="33" spans="2:20" x14ac:dyDescent="0.3">
      <c r="B33" s="5" t="s">
        <v>225</v>
      </c>
      <c r="C33">
        <v>7465876</v>
      </c>
    </row>
    <row r="42" spans="2:20" ht="18" x14ac:dyDescent="0.35">
      <c r="B42" s="24" t="s">
        <v>240</v>
      </c>
      <c r="C42" s="24"/>
      <c r="Q42" s="11"/>
      <c r="R42" s="12"/>
      <c r="S42" s="24" t="s">
        <v>241</v>
      </c>
      <c r="T42" s="24"/>
    </row>
    <row r="44" spans="2:20" x14ac:dyDescent="0.3">
      <c r="R44" s="4" t="s">
        <v>224</v>
      </c>
      <c r="S44" t="s">
        <v>221</v>
      </c>
    </row>
    <row r="45" spans="2:20" x14ac:dyDescent="0.3">
      <c r="R45" s="5" t="s">
        <v>33</v>
      </c>
      <c r="S45" s="9">
        <v>1413745</v>
      </c>
    </row>
    <row r="46" spans="2:20" x14ac:dyDescent="0.3">
      <c r="B46" s="4" t="s">
        <v>224</v>
      </c>
      <c r="C46" t="s">
        <v>221</v>
      </c>
      <c r="R46" s="5" t="s">
        <v>52</v>
      </c>
      <c r="S46" s="9">
        <v>843394</v>
      </c>
    </row>
    <row r="47" spans="2:20" x14ac:dyDescent="0.3">
      <c r="B47" s="5" t="s">
        <v>33</v>
      </c>
      <c r="C47" s="3">
        <v>1413745</v>
      </c>
      <c r="R47" s="5" t="s">
        <v>86</v>
      </c>
      <c r="S47" s="9">
        <v>1294221</v>
      </c>
    </row>
    <row r="48" spans="2:20" x14ac:dyDescent="0.3">
      <c r="B48" s="5" t="s">
        <v>52</v>
      </c>
      <c r="C48" s="3">
        <v>843394</v>
      </c>
      <c r="R48" s="5" t="s">
        <v>75</v>
      </c>
      <c r="S48" s="9">
        <v>806153</v>
      </c>
    </row>
    <row r="49" spans="2:19" x14ac:dyDescent="0.3">
      <c r="B49" s="5" t="s">
        <v>86</v>
      </c>
      <c r="C49" s="3">
        <v>1294221</v>
      </c>
      <c r="R49" s="5" t="s">
        <v>47</v>
      </c>
      <c r="S49" s="9">
        <v>1474038</v>
      </c>
    </row>
    <row r="50" spans="2:19" x14ac:dyDescent="0.3">
      <c r="B50" s="5" t="s">
        <v>75</v>
      </c>
      <c r="C50" s="3">
        <v>806153</v>
      </c>
      <c r="R50" s="5" t="s">
        <v>26</v>
      </c>
      <c r="S50" s="9">
        <v>1634325</v>
      </c>
    </row>
    <row r="51" spans="2:19" x14ac:dyDescent="0.3">
      <c r="B51" s="5" t="s">
        <v>47</v>
      </c>
      <c r="C51" s="3">
        <v>1474038</v>
      </c>
      <c r="R51" s="5" t="s">
        <v>225</v>
      </c>
      <c r="S51" s="9">
        <v>7465876</v>
      </c>
    </row>
    <row r="52" spans="2:19" x14ac:dyDescent="0.3">
      <c r="B52" s="5" t="s">
        <v>26</v>
      </c>
      <c r="C52" s="3">
        <v>1634325</v>
      </c>
    </row>
    <row r="53" spans="2:19" x14ac:dyDescent="0.3">
      <c r="B53" s="5" t="s">
        <v>225</v>
      </c>
      <c r="C53" s="3">
        <v>7465876</v>
      </c>
    </row>
  </sheetData>
  <mergeCells count="5">
    <mergeCell ref="S42:T42"/>
    <mergeCell ref="A1:D1"/>
    <mergeCell ref="B23:C23"/>
    <mergeCell ref="B42:C42"/>
    <mergeCell ref="B5:C5"/>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EDEA-EDFE-477D-B294-44A069E64EB7}">
  <dimension ref="A1:F37"/>
  <sheetViews>
    <sheetView zoomScale="60" zoomScaleNormal="66" workbookViewId="0">
      <selection activeCell="X1" sqref="X1"/>
    </sheetView>
  </sheetViews>
  <sheetFormatPr defaultRowHeight="14.4" x14ac:dyDescent="0.3"/>
  <cols>
    <col min="2" max="2" width="18.21875" bestFit="1" customWidth="1"/>
    <col min="3" max="3" width="21.21875" bestFit="1" customWidth="1"/>
    <col min="4" max="4" width="27.33203125" bestFit="1" customWidth="1"/>
    <col min="5" max="5" width="12.44140625" bestFit="1" customWidth="1"/>
    <col min="6" max="6" width="14.5546875" bestFit="1" customWidth="1"/>
    <col min="7" max="7" width="19" bestFit="1" customWidth="1"/>
  </cols>
  <sheetData>
    <row r="1" spans="1:6" ht="18" x14ac:dyDescent="0.35">
      <c r="A1" s="25" t="s">
        <v>242</v>
      </c>
      <c r="B1" s="25"/>
      <c r="C1" s="25"/>
    </row>
    <row r="4" spans="1:6" x14ac:dyDescent="0.3">
      <c r="B4" s="4" t="s">
        <v>224</v>
      </c>
      <c r="C4" t="s">
        <v>215</v>
      </c>
      <c r="D4" t="s">
        <v>233</v>
      </c>
    </row>
    <row r="5" spans="1:6" x14ac:dyDescent="0.3">
      <c r="B5" s="5" t="s">
        <v>43</v>
      </c>
      <c r="C5">
        <v>60</v>
      </c>
      <c r="D5">
        <v>62954.416666666664</v>
      </c>
    </row>
    <row r="6" spans="1:6" x14ac:dyDescent="0.3">
      <c r="B6" s="5" t="s">
        <v>27</v>
      </c>
      <c r="C6">
        <v>60</v>
      </c>
      <c r="D6">
        <v>61476.85</v>
      </c>
    </row>
    <row r="7" spans="1:6" x14ac:dyDescent="0.3">
      <c r="B7" s="5" t="s">
        <v>225</v>
      </c>
      <c r="C7">
        <v>120</v>
      </c>
      <c r="D7">
        <v>62215.633333333331</v>
      </c>
    </row>
    <row r="10" spans="1:6" ht="18" x14ac:dyDescent="0.35">
      <c r="B10" s="24" t="s">
        <v>243</v>
      </c>
      <c r="C10" s="24"/>
    </row>
    <row r="11" spans="1:6" x14ac:dyDescent="0.3">
      <c r="F11" s="13" t="s">
        <v>244</v>
      </c>
    </row>
    <row r="29" spans="1:3" ht="18" x14ac:dyDescent="0.35">
      <c r="A29" s="24" t="s">
        <v>245</v>
      </c>
      <c r="B29" s="24"/>
    </row>
    <row r="31" spans="1:3" x14ac:dyDescent="0.3">
      <c r="B31" s="4" t="s">
        <v>224</v>
      </c>
      <c r="C31" t="s">
        <v>215</v>
      </c>
    </row>
    <row r="32" spans="1:3" x14ac:dyDescent="0.3">
      <c r="B32" s="5" t="s">
        <v>28</v>
      </c>
      <c r="C32">
        <v>22</v>
      </c>
    </row>
    <row r="33" spans="2:3" x14ac:dyDescent="0.3">
      <c r="B33" s="5" t="s">
        <v>65</v>
      </c>
      <c r="C33">
        <v>22</v>
      </c>
    </row>
    <row r="34" spans="2:3" x14ac:dyDescent="0.3">
      <c r="B34" s="5" t="s">
        <v>53</v>
      </c>
      <c r="C34">
        <v>20</v>
      </c>
    </row>
    <row r="35" spans="2:3" x14ac:dyDescent="0.3">
      <c r="B35" s="5" t="s">
        <v>34</v>
      </c>
      <c r="C35">
        <v>31</v>
      </c>
    </row>
    <row r="36" spans="2:3" x14ac:dyDescent="0.3">
      <c r="B36" s="5" t="s">
        <v>48</v>
      </c>
      <c r="C36">
        <v>25</v>
      </c>
    </row>
    <row r="37" spans="2:3" x14ac:dyDescent="0.3">
      <c r="B37" s="5" t="s">
        <v>225</v>
      </c>
      <c r="C37">
        <v>120</v>
      </c>
    </row>
  </sheetData>
  <mergeCells count="3">
    <mergeCell ref="A1:C1"/>
    <mergeCell ref="B10:C10"/>
    <mergeCell ref="A29:B29"/>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BDC38-9AD5-4E47-8074-59C3F168FE54}">
  <dimension ref="I1:AB48"/>
  <sheetViews>
    <sheetView topLeftCell="A208" zoomScale="67" zoomScaleNormal="19" workbookViewId="0">
      <selection activeCell="N250" sqref="N250"/>
    </sheetView>
  </sheetViews>
  <sheetFormatPr defaultRowHeight="14.4" x14ac:dyDescent="0.3"/>
  <sheetData>
    <row r="1" spans="9:14" ht="21" x14ac:dyDescent="0.4">
      <c r="I1" s="26" t="s">
        <v>246</v>
      </c>
      <c r="J1" s="26"/>
      <c r="K1" s="26"/>
      <c r="L1" s="26"/>
      <c r="M1" s="26"/>
      <c r="N1" s="26"/>
    </row>
    <row r="24" spans="11:28" x14ac:dyDescent="0.3">
      <c r="AB24" t="s">
        <v>249</v>
      </c>
    </row>
    <row r="27" spans="11:28" x14ac:dyDescent="0.3">
      <c r="K27" s="10" t="s">
        <v>247</v>
      </c>
    </row>
    <row r="48" spans="11:12" x14ac:dyDescent="0.3">
      <c r="K48" s="27" t="s">
        <v>248</v>
      </c>
      <c r="L48" s="27"/>
    </row>
  </sheetData>
  <mergeCells count="2">
    <mergeCell ref="I1:N1"/>
    <mergeCell ref="K48:L48"/>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3AE05-6679-4631-AC0D-5237C2240D94}">
  <dimension ref="C2:AC55"/>
  <sheetViews>
    <sheetView zoomScale="78" workbookViewId="0">
      <selection activeCell="Q32" sqref="Q32"/>
    </sheetView>
  </sheetViews>
  <sheetFormatPr defaultRowHeight="14.4" x14ac:dyDescent="0.3"/>
  <sheetData>
    <row r="2" spans="3:29" x14ac:dyDescent="0.3">
      <c r="K2" s="14" t="s">
        <v>250</v>
      </c>
    </row>
    <row r="5" spans="3:29" ht="18" x14ac:dyDescent="0.3">
      <c r="C5" s="15" t="s">
        <v>251</v>
      </c>
    </row>
    <row r="7" spans="3:29" x14ac:dyDescent="0.3">
      <c r="C7" s="18" t="s">
        <v>252</v>
      </c>
      <c r="D7" s="18"/>
      <c r="E7" s="18"/>
      <c r="F7" s="18"/>
      <c r="G7" s="18"/>
      <c r="H7" s="18"/>
      <c r="I7" s="18"/>
      <c r="J7" s="18"/>
      <c r="K7" s="18"/>
      <c r="L7" s="18"/>
      <c r="M7" s="18"/>
      <c r="N7" s="18"/>
      <c r="O7" s="18"/>
      <c r="P7" s="18"/>
      <c r="Q7" s="18"/>
      <c r="R7" s="18"/>
      <c r="S7" s="18"/>
      <c r="T7" s="18"/>
      <c r="U7" s="18"/>
      <c r="V7" s="18"/>
      <c r="W7" s="18"/>
      <c r="X7" s="18"/>
      <c r="Y7" s="18"/>
      <c r="Z7" s="18"/>
      <c r="AA7" s="18"/>
    </row>
    <row r="9" spans="3:29" ht="18" x14ac:dyDescent="0.3">
      <c r="C9" s="15" t="s">
        <v>253</v>
      </c>
    </row>
    <row r="11" spans="3:29" x14ac:dyDescent="0.3">
      <c r="C11" s="18" t="s">
        <v>254</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row>
    <row r="13" spans="3:29" ht="18" x14ac:dyDescent="0.3">
      <c r="C13" s="15" t="s">
        <v>255</v>
      </c>
    </row>
    <row r="15" spans="3:29" x14ac:dyDescent="0.3">
      <c r="C15" s="1" t="s">
        <v>256</v>
      </c>
    </row>
    <row r="17" spans="3:3" ht="18" x14ac:dyDescent="0.3">
      <c r="C17" s="15" t="s">
        <v>257</v>
      </c>
    </row>
    <row r="19" spans="3:3" x14ac:dyDescent="0.3">
      <c r="C19" t="s">
        <v>258</v>
      </c>
    </row>
    <row r="21" spans="3:3" x14ac:dyDescent="0.3">
      <c r="C21" s="1" t="s">
        <v>259</v>
      </c>
    </row>
    <row r="23" spans="3:3" x14ac:dyDescent="0.3">
      <c r="C23" t="s">
        <v>260</v>
      </c>
    </row>
    <row r="24" spans="3:3" x14ac:dyDescent="0.3">
      <c r="C24" s="16"/>
    </row>
    <row r="25" spans="3:3" x14ac:dyDescent="0.3">
      <c r="C25" s="16" t="s">
        <v>214</v>
      </c>
    </row>
    <row r="26" spans="3:3" x14ac:dyDescent="0.3">
      <c r="C26" s="16" t="s">
        <v>227</v>
      </c>
    </row>
    <row r="27" spans="3:3" x14ac:dyDescent="0.3">
      <c r="C27" s="16" t="s">
        <v>261</v>
      </c>
    </row>
    <row r="28" spans="3:3" x14ac:dyDescent="0.3">
      <c r="C28" s="16" t="s">
        <v>262</v>
      </c>
    </row>
    <row r="29" spans="3:3" x14ac:dyDescent="0.3">
      <c r="C29" s="16" t="s">
        <v>242</v>
      </c>
    </row>
    <row r="31" spans="3:3" ht="18" x14ac:dyDescent="0.3">
      <c r="C31" s="15" t="s">
        <v>263</v>
      </c>
    </row>
    <row r="32" spans="3:3" x14ac:dyDescent="0.3">
      <c r="C32" s="16"/>
    </row>
    <row r="33" spans="3:3" x14ac:dyDescent="0.3">
      <c r="C33" s="17" t="s">
        <v>264</v>
      </c>
    </row>
    <row r="34" spans="3:3" x14ac:dyDescent="0.3">
      <c r="C34" s="17" t="s">
        <v>265</v>
      </c>
    </row>
    <row r="35" spans="3:3" x14ac:dyDescent="0.3">
      <c r="C35" s="17" t="s">
        <v>266</v>
      </c>
    </row>
    <row r="36" spans="3:3" x14ac:dyDescent="0.3">
      <c r="C36" s="17" t="s">
        <v>267</v>
      </c>
    </row>
    <row r="37" spans="3:3" x14ac:dyDescent="0.3">
      <c r="C37" s="17" t="s">
        <v>268</v>
      </c>
    </row>
    <row r="38" spans="3:3" x14ac:dyDescent="0.3">
      <c r="C38" s="17" t="s">
        <v>269</v>
      </c>
    </row>
    <row r="39" spans="3:3" x14ac:dyDescent="0.3">
      <c r="C39" s="17" t="s">
        <v>270</v>
      </c>
    </row>
    <row r="40" spans="3:3" x14ac:dyDescent="0.3">
      <c r="C40" s="17" t="s">
        <v>271</v>
      </c>
    </row>
    <row r="41" spans="3:3" x14ac:dyDescent="0.3">
      <c r="C41" s="17" t="s">
        <v>272</v>
      </c>
    </row>
    <row r="42" spans="3:3" x14ac:dyDescent="0.3">
      <c r="C42" s="17" t="s">
        <v>273</v>
      </c>
    </row>
    <row r="43" spans="3:3" x14ac:dyDescent="0.3">
      <c r="C43" s="17" t="s">
        <v>274</v>
      </c>
    </row>
    <row r="45" spans="3:3" ht="18" x14ac:dyDescent="0.3">
      <c r="C45" s="15" t="s">
        <v>275</v>
      </c>
    </row>
    <row r="47" spans="3:3" x14ac:dyDescent="0.3">
      <c r="C47" t="s">
        <v>276</v>
      </c>
    </row>
    <row r="49" spans="3:3" x14ac:dyDescent="0.3">
      <c r="C49" t="s">
        <v>277</v>
      </c>
    </row>
    <row r="51" spans="3:3" x14ac:dyDescent="0.3">
      <c r="C51" t="s">
        <v>278</v>
      </c>
    </row>
    <row r="53" spans="3:3" ht="18" x14ac:dyDescent="0.3">
      <c r="C53" s="15" t="s">
        <v>279</v>
      </c>
    </row>
    <row r="55" spans="3:3" x14ac:dyDescent="0.3">
      <c r="C55" t="s">
        <v>280</v>
      </c>
    </row>
  </sheetData>
  <mergeCells count="2">
    <mergeCell ref="C7:AA7"/>
    <mergeCell ref="C11:A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Employee Data</vt:lpstr>
      <vt:lpstr>Performance Analysis</vt:lpstr>
      <vt:lpstr>Salary&amp;Experiences Analysis</vt:lpstr>
      <vt:lpstr>Payroll Analysis</vt:lpstr>
      <vt:lpstr>Department&amp;Location Analysis</vt:lpstr>
      <vt:lpstr>Employee Demographics</vt:lpstr>
      <vt:lpstr>Dashboard</vt:lpstr>
      <vt:lpstr>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Sathiya Moorthy</dc:creator>
  <cp:keywords/>
  <dc:description/>
  <cp:lastModifiedBy>Sathiya Moorthy</cp:lastModifiedBy>
  <cp:revision/>
  <cp:lastPrinted>2026-06-27T05:51:30Z</cp:lastPrinted>
  <dcterms:created xsi:type="dcterms:W3CDTF">2026-06-24T01:59:55Z</dcterms:created>
  <dcterms:modified xsi:type="dcterms:W3CDTF">2026-09-06T06:24:42Z</dcterms:modified>
  <cp:category/>
  <cp:contentStatus/>
</cp:coreProperties>
</file>